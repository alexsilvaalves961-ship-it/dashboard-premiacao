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T:\TRANSPORTE\Compartilhadas\PREMIAÇÃO MOTORISTA\2026\08 - 2026\"/>
    </mc:Choice>
  </mc:AlternateContent>
  <bookViews>
    <workbookView xWindow="0" yWindow="0" windowWidth="28800" windowHeight="12030" tabRatio="956" activeTab="13"/>
  </bookViews>
  <sheets>
    <sheet name="Grafico" sheetId="16" r:id="rId1"/>
    <sheet name="Geral" sheetId="14" r:id="rId2"/>
    <sheet name="Araucária" sheetId="1" r:id="rId3"/>
    <sheet name="Campo Grande" sheetId="3" r:id="rId4"/>
    <sheet name="Chapeco" sheetId="4" r:id="rId5"/>
    <sheet name="Cianorte" sheetId="5" r:id="rId6"/>
    <sheet name="Guararapes" sheetId="6" r:id="rId7"/>
    <sheet name="Itajai" sheetId="7" r:id="rId8"/>
    <sheet name="Paulínia" sheetId="8" r:id="rId9"/>
    <sheet name="São José dos Campos" sheetId="9" r:id="rId10"/>
    <sheet name="Sarandi" sheetId="10" r:id="rId11"/>
    <sheet name="Uberaba" sheetId="11" r:id="rId12"/>
    <sheet name="Uberlandia" sheetId="12" r:id="rId13"/>
    <sheet name="Várzea Grande" sheetId="13" r:id="rId14"/>
  </sheets>
  <definedNames>
    <definedName name="_xlnm._FilterDatabase" localSheetId="1" hidden="1">Geral!#REF!</definedName>
    <definedName name="sjc">Tabela81011[]</definedName>
  </definedNames>
  <calcPr calcId="162913"/>
  <pivotCaches>
    <pivotCache cacheId="2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7" l="1"/>
  <c r="C6" i="11"/>
  <c r="C5" i="12"/>
  <c r="C26" i="5"/>
  <c r="C29" i="6"/>
  <c r="C7" i="9"/>
  <c r="C42" i="1"/>
  <c r="A111" i="14" l="1"/>
  <c r="B111" i="14"/>
  <c r="C111" i="14"/>
  <c r="B40" i="14"/>
  <c r="B41" i="14"/>
  <c r="A40" i="14"/>
  <c r="C40" i="14" s="1"/>
  <c r="A41" i="14"/>
  <c r="C41" i="14" s="1"/>
  <c r="A103" i="14" l="1"/>
  <c r="C103" i="14" s="1"/>
  <c r="B103" i="14"/>
  <c r="A78" i="14" l="1"/>
  <c r="C78" i="14" s="1"/>
  <c r="B78" i="14"/>
  <c r="B86" i="14" l="1"/>
  <c r="C86" i="14"/>
  <c r="A79" i="14" l="1"/>
  <c r="C79" i="14" s="1"/>
  <c r="B79" i="14"/>
  <c r="A53" i="14"/>
  <c r="C53" i="14" s="1"/>
  <c r="B53" i="14"/>
  <c r="C85" i="14" l="1"/>
  <c r="B85" i="14"/>
  <c r="B108" i="14" l="1"/>
  <c r="A108" i="14"/>
  <c r="C108" i="14" s="1"/>
  <c r="A101" i="14" l="1"/>
  <c r="C101" i="14" s="1"/>
  <c r="B101" i="14"/>
  <c r="A80" i="14"/>
  <c r="C80" i="14" s="1"/>
  <c r="B80" i="14"/>
  <c r="A60" i="14"/>
  <c r="C60" i="14" s="1"/>
  <c r="B60" i="14"/>
  <c r="A95" i="14" l="1"/>
  <c r="C95" i="14" s="1"/>
  <c r="B95" i="14"/>
  <c r="A91" i="14" l="1"/>
  <c r="C91" i="14" s="1"/>
  <c r="B91" i="14"/>
  <c r="A90" i="14"/>
  <c r="C90" i="14" s="1"/>
  <c r="B90" i="14"/>
  <c r="A51" i="14" l="1"/>
  <c r="C51" i="14" s="1"/>
  <c r="B51" i="14"/>
  <c r="B44" i="14" l="1"/>
  <c r="C44" i="14"/>
  <c r="A44" i="14"/>
  <c r="A64" i="14" l="1"/>
  <c r="A37" i="14" l="1"/>
  <c r="C37" i="14" s="1"/>
  <c r="B37" i="14"/>
  <c r="A38" i="14"/>
  <c r="C38" i="14" s="1"/>
  <c r="B38" i="14"/>
  <c r="A39" i="14"/>
  <c r="C39" i="14" s="1"/>
  <c r="B39" i="14"/>
  <c r="A74" i="14" l="1"/>
  <c r="B74" i="14"/>
  <c r="C74" i="14" l="1"/>
  <c r="A92" i="14"/>
  <c r="B92" i="14"/>
  <c r="C92" i="14" l="1"/>
  <c r="A29" i="14"/>
  <c r="C29" i="14" s="1"/>
  <c r="B29" i="14"/>
  <c r="A45" i="14"/>
  <c r="C45" i="14" s="1"/>
  <c r="B45" i="14"/>
  <c r="A35" i="14" l="1"/>
  <c r="C35" i="14" s="1"/>
  <c r="B35" i="14"/>
  <c r="A36" i="14"/>
  <c r="B36" i="14"/>
  <c r="A63" i="14"/>
  <c r="C63" i="14" s="1"/>
  <c r="B63" i="14"/>
  <c r="C36" i="14" l="1"/>
  <c r="A104" i="14" l="1"/>
  <c r="A3" i="14" l="1"/>
  <c r="A4" i="14"/>
  <c r="B4" i="14"/>
  <c r="A5" i="14"/>
  <c r="B5" i="14"/>
  <c r="A6" i="14"/>
  <c r="B6" i="14"/>
  <c r="A7" i="14"/>
  <c r="B7" i="14"/>
  <c r="A8" i="14"/>
  <c r="B8" i="14"/>
  <c r="A9" i="14"/>
  <c r="B9" i="14"/>
  <c r="A10" i="14"/>
  <c r="B10" i="14"/>
  <c r="A11" i="14"/>
  <c r="B11" i="14"/>
  <c r="A12" i="14"/>
  <c r="B12" i="14"/>
  <c r="A13" i="14"/>
  <c r="B13" i="14"/>
  <c r="A14" i="14"/>
  <c r="B14" i="14"/>
  <c r="A15" i="14"/>
  <c r="B15" i="14"/>
  <c r="A16" i="14"/>
  <c r="B16" i="14"/>
  <c r="A17" i="14"/>
  <c r="B17" i="14"/>
  <c r="A18" i="14"/>
  <c r="B18" i="14"/>
  <c r="A19" i="14"/>
  <c r="B19" i="14"/>
  <c r="A20" i="14"/>
  <c r="B20" i="14"/>
  <c r="A21" i="14"/>
  <c r="B21" i="14"/>
  <c r="A22" i="14"/>
  <c r="B22" i="14"/>
  <c r="A23" i="14"/>
  <c r="B23" i="14"/>
  <c r="A24" i="14"/>
  <c r="B24" i="14"/>
  <c r="A25" i="14"/>
  <c r="B25" i="14"/>
  <c r="A26" i="14"/>
  <c r="B26" i="14"/>
  <c r="A27" i="14"/>
  <c r="B27" i="14"/>
  <c r="A28" i="14"/>
  <c r="B28" i="14"/>
  <c r="A30" i="14"/>
  <c r="B30" i="14"/>
  <c r="A31" i="14"/>
  <c r="B31" i="14"/>
  <c r="A32" i="14"/>
  <c r="B32" i="14"/>
  <c r="A33" i="14"/>
  <c r="B33" i="14"/>
  <c r="A34" i="14"/>
  <c r="B34" i="14"/>
  <c r="B3" i="14"/>
  <c r="C5" i="14" l="1"/>
  <c r="C25" i="14"/>
  <c r="A98" i="14"/>
  <c r="B98" i="14"/>
  <c r="C98" i="14" l="1"/>
  <c r="C104" i="14"/>
  <c r="B104" i="14"/>
  <c r="C28" i="14" l="1"/>
  <c r="C8" i="14"/>
  <c r="C34" i="14" l="1"/>
  <c r="C19" i="14"/>
  <c r="A83" i="14" l="1"/>
  <c r="B83" i="14"/>
  <c r="C12" i="14" l="1"/>
  <c r="C83" i="14"/>
  <c r="C21" i="14"/>
  <c r="C3" i="14"/>
  <c r="B61" i="14" l="1"/>
  <c r="C61" i="14"/>
  <c r="C31" i="14" l="1"/>
  <c r="C16" i="14" l="1"/>
  <c r="C4" i="14" l="1"/>
  <c r="C17" i="14" l="1"/>
  <c r="C24" i="14" l="1"/>
  <c r="B71" i="14" l="1"/>
  <c r="A71" i="14"/>
  <c r="C11" i="14" l="1"/>
  <c r="C71" i="14"/>
  <c r="A110" i="14" l="1"/>
  <c r="B110" i="14"/>
  <c r="A112" i="14"/>
  <c r="B112" i="14"/>
  <c r="A113" i="14"/>
  <c r="B113" i="14"/>
  <c r="A114" i="14"/>
  <c r="B114" i="14"/>
  <c r="A109" i="14"/>
  <c r="B109" i="14"/>
  <c r="A105" i="14"/>
  <c r="B105" i="14"/>
  <c r="A106" i="14"/>
  <c r="B106" i="14"/>
  <c r="A107" i="14"/>
  <c r="B107" i="14"/>
  <c r="A100" i="14"/>
  <c r="B100" i="14"/>
  <c r="A102" i="14"/>
  <c r="B102" i="14"/>
  <c r="A97" i="14"/>
  <c r="B97" i="14"/>
  <c r="A99" i="14"/>
  <c r="B99" i="14"/>
  <c r="A94" i="14"/>
  <c r="B94" i="14"/>
  <c r="A96" i="14"/>
  <c r="B96" i="14"/>
  <c r="A68" i="14"/>
  <c r="B68" i="14"/>
  <c r="A69" i="14"/>
  <c r="B69" i="14"/>
  <c r="A70" i="14"/>
  <c r="B70" i="14"/>
  <c r="A72" i="14"/>
  <c r="B72" i="14"/>
  <c r="A73" i="14"/>
  <c r="B73" i="14"/>
  <c r="A75" i="14"/>
  <c r="B75" i="14"/>
  <c r="A76" i="14"/>
  <c r="B76" i="14"/>
  <c r="A77" i="14"/>
  <c r="B77" i="14"/>
  <c r="A81" i="14"/>
  <c r="B81" i="14"/>
  <c r="A82" i="14"/>
  <c r="B82" i="14"/>
  <c r="A84" i="14"/>
  <c r="B84" i="14"/>
  <c r="A87" i="14"/>
  <c r="B87" i="14"/>
  <c r="A88" i="14"/>
  <c r="B88" i="14"/>
  <c r="A89" i="14"/>
  <c r="B89" i="14"/>
  <c r="A93" i="14"/>
  <c r="B93" i="14"/>
  <c r="A46" i="14"/>
  <c r="B46" i="14"/>
  <c r="A47" i="14"/>
  <c r="B47" i="14"/>
  <c r="A48" i="14"/>
  <c r="B48" i="14"/>
  <c r="A49" i="14"/>
  <c r="B49" i="14"/>
  <c r="A50" i="14"/>
  <c r="B50" i="14"/>
  <c r="A52" i="14"/>
  <c r="B52" i="14"/>
  <c r="A54" i="14"/>
  <c r="B54" i="14"/>
  <c r="A55" i="14"/>
  <c r="B55" i="14"/>
  <c r="A56" i="14"/>
  <c r="B56" i="14"/>
  <c r="A57" i="14"/>
  <c r="B57" i="14"/>
  <c r="A58" i="14"/>
  <c r="B58" i="14"/>
  <c r="A59" i="14"/>
  <c r="B59" i="14"/>
  <c r="A62" i="14"/>
  <c r="B62" i="14"/>
  <c r="B64" i="14"/>
  <c r="A65" i="14"/>
  <c r="B65" i="14"/>
  <c r="A66" i="14"/>
  <c r="B66" i="14"/>
  <c r="A67" i="14"/>
  <c r="B67" i="14"/>
  <c r="A42" i="14"/>
  <c r="B42" i="14"/>
  <c r="A43" i="14"/>
  <c r="B43" i="14"/>
  <c r="C76" i="14" l="1"/>
  <c r="C75" i="14"/>
  <c r="C96" i="14"/>
  <c r="C102" i="14"/>
  <c r="C113" i="14"/>
  <c r="C30" i="14"/>
  <c r="C22" i="14"/>
  <c r="C13" i="14"/>
  <c r="C9" i="14"/>
  <c r="C6" i="14"/>
  <c r="C42" i="14"/>
  <c r="C84" i="14"/>
  <c r="C69" i="14"/>
  <c r="C94" i="14"/>
  <c r="C99" i="14"/>
  <c r="C106" i="14"/>
  <c r="C114" i="14"/>
  <c r="C27" i="14"/>
  <c r="C20" i="14"/>
  <c r="C15" i="14"/>
  <c r="C89" i="14"/>
  <c r="C87" i="14"/>
  <c r="C82" i="14"/>
  <c r="C77" i="14"/>
  <c r="C73" i="14"/>
  <c r="C70" i="14"/>
  <c r="C68" i="14"/>
  <c r="C97" i="14"/>
  <c r="C100" i="14"/>
  <c r="C107" i="14"/>
  <c r="C105" i="14"/>
  <c r="C109" i="14"/>
  <c r="C112" i="14"/>
  <c r="C110" i="14"/>
  <c r="C93" i="14"/>
  <c r="C81" i="14"/>
  <c r="C72" i="14"/>
  <c r="C33" i="14"/>
  <c r="C32" i="14"/>
  <c r="C26" i="14"/>
  <c r="C23" i="14"/>
  <c r="C18" i="14"/>
  <c r="C14" i="14"/>
  <c r="C10" i="14"/>
  <c r="C7" i="14"/>
  <c r="C43" i="14"/>
  <c r="C65" i="14"/>
  <c r="C62" i="14"/>
  <c r="C56" i="14"/>
  <c r="C54" i="14"/>
  <c r="C49" i="14"/>
  <c r="C48" i="14"/>
  <c r="C66" i="14"/>
  <c r="C64" i="14"/>
  <c r="C59" i="14"/>
  <c r="C57" i="14"/>
  <c r="C55" i="14"/>
  <c r="C52" i="14"/>
  <c r="C50" i="14"/>
  <c r="C47" i="14"/>
  <c r="C67" i="14"/>
  <c r="C58" i="14"/>
  <c r="C46" i="14"/>
  <c r="C88" i="14"/>
  <c r="C8" i="13"/>
  <c r="C6" i="8"/>
  <c r="C4" i="4"/>
  <c r="C115" i="14" l="1"/>
  <c r="D1" i="14"/>
</calcChain>
</file>

<file path=xl/sharedStrings.xml><?xml version="1.0" encoding="utf-8"?>
<sst xmlns="http://schemas.openxmlformats.org/spreadsheetml/2006/main" count="297" uniqueCount="131">
  <si>
    <t>CLAUDIO JOSE KREGENSKI</t>
  </si>
  <si>
    <t xml:space="preserve">DOUGLAS ENRIQUE DA SILVA LUIZ </t>
  </si>
  <si>
    <t>EDINEI MARCOS CORDEIRO</t>
  </si>
  <si>
    <t>GILMAR LOPACINSKI</t>
  </si>
  <si>
    <t>LEOMAR MOREIRA</t>
  </si>
  <si>
    <t>NILSON APARECIDO SAMPAIO</t>
  </si>
  <si>
    <t>PAULO DE MELO SILVA</t>
  </si>
  <si>
    <t>VALDECI FERREIRA DA SILVA JUNIOR</t>
  </si>
  <si>
    <t>Motoristas</t>
  </si>
  <si>
    <t>Filial</t>
  </si>
  <si>
    <t>RENATO RIEFF MARIN</t>
  </si>
  <si>
    <t>CIANORTE</t>
  </si>
  <si>
    <t xml:space="preserve">JHONATAN ALVES DOS SANTOS </t>
  </si>
  <si>
    <t>LINCOLN FRANCEL PIMENTA</t>
  </si>
  <si>
    <t>APARECIDO DIAMARAES</t>
  </si>
  <si>
    <t>APARECIDO JOEL SANT ANA</t>
  </si>
  <si>
    <t xml:space="preserve">APARECIDO RODRIGUES DA SILVA </t>
  </si>
  <si>
    <t>CARLOS ELIER PIEROLI</t>
  </si>
  <si>
    <t>ELISANGELA APARECIDA GOMES COELHO</t>
  </si>
  <si>
    <t>MAURILIO FERREIRA DAS NEVES</t>
  </si>
  <si>
    <t xml:space="preserve">RODOLFO MOZELLI SPAGOLLA </t>
  </si>
  <si>
    <t>VALBER JUNIOR COSTA</t>
  </si>
  <si>
    <t>WESLEI RIBEIRO JACOMINI</t>
  </si>
  <si>
    <t>GILBERTO BEZERRA PINTO</t>
  </si>
  <si>
    <t>JOSE CARLOS RODRIGUES</t>
  </si>
  <si>
    <t>JOSE DOS SANTOS</t>
  </si>
  <si>
    <t>VILSON TOMACHAK</t>
  </si>
  <si>
    <t>DENNER DOS SANTOS</t>
  </si>
  <si>
    <t>ALEX DOUGLAS LOPES ALONSO</t>
  </si>
  <si>
    <t>ANDERSON NUBIATO RODRIGUES DA SILVA</t>
  </si>
  <si>
    <t>CELSO RICARDO RODRIGUES</t>
  </si>
  <si>
    <t>EDVALDO GONCALVES</t>
  </si>
  <si>
    <t>GILMAR FERREIRA NEVES</t>
  </si>
  <si>
    <t>JHONE GIMENES SANTOS</t>
  </si>
  <si>
    <t>LUIS HENRIQUE SANTIAGO FIALHO</t>
  </si>
  <si>
    <t>PAULO CESAR VICENTINI</t>
  </si>
  <si>
    <t>WILLIAM ANDRADE DE MOURA</t>
  </si>
  <si>
    <t>ANTONIO ROBERTO BELTRAMINI</t>
  </si>
  <si>
    <t>EDE WILSON RODRIGUES</t>
  </si>
  <si>
    <t>FABIO CARLOS ARAUJO DO CARMO</t>
  </si>
  <si>
    <t>GUSTAVO ROBERTO PEREIRA</t>
  </si>
  <si>
    <t>ANDERSON DE SOUZA SOARES GOMES</t>
  </si>
  <si>
    <t>ITAJAI</t>
  </si>
  <si>
    <t xml:space="preserve">SILVANO DA SILVA FREITAS </t>
  </si>
  <si>
    <t>RENATO PEREIRA FRANÇA</t>
  </si>
  <si>
    <t>ANTONIO APARECIDO PEREIRA</t>
  </si>
  <si>
    <t>AGUINALDO DOS SANTOS TEIXEIRA</t>
  </si>
  <si>
    <t>RONAN ROMULO ANTUNES</t>
  </si>
  <si>
    <t xml:space="preserve">NIVALDO REIS MACHADO </t>
  </si>
  <si>
    <t>SIDNEY RODRIGUES FERREIRA</t>
  </si>
  <si>
    <t xml:space="preserve">WELLINGTON DE MELO BATISTA </t>
  </si>
  <si>
    <t xml:space="preserve">JOSE DONIZETE FERREIRA GOMES </t>
  </si>
  <si>
    <t>MARCOS ROBERTO DOS SANTOS</t>
  </si>
  <si>
    <t>JORGE SANTOS DA SILVA</t>
  </si>
  <si>
    <t>ANTONIO JOSE DE SOUZA MARTINS</t>
  </si>
  <si>
    <t>OTAVIO ROSA FRANCO</t>
  </si>
  <si>
    <t>ARAUCARIA</t>
  </si>
  <si>
    <t>CAMPO GRANDE</t>
  </si>
  <si>
    <t>GUARARAPES</t>
  </si>
  <si>
    <t>PAULINIA</t>
  </si>
  <si>
    <t>SAO JOSE DOS CAMPOS</t>
  </si>
  <si>
    <t>SARANDI</t>
  </si>
  <si>
    <t>UBERABA</t>
  </si>
  <si>
    <t>UBERLANDIA</t>
  </si>
  <si>
    <t>VARZEA GRANDE</t>
  </si>
  <si>
    <t>Picos de Velocidade</t>
  </si>
  <si>
    <t>Excessos de Velocidade</t>
  </si>
  <si>
    <t>Rótulos de Linha</t>
  </si>
  <si>
    <t>Soma de Picos de Velocidade</t>
  </si>
  <si>
    <t>Total Geral</t>
  </si>
  <si>
    <t>FRANCISCO DAS CHAGAS CORREA CRISPIM</t>
  </si>
  <si>
    <t>MICHEL ANTONIOLI</t>
  </si>
  <si>
    <t>VALDINEY FERREIRA PRIMO</t>
  </si>
  <si>
    <t>DANILO CASSIANO FERREIRA</t>
  </si>
  <si>
    <t>ANGELA MARIA GONÇALVES</t>
  </si>
  <si>
    <t>JOAO PAULO LISNIOWSKI</t>
  </si>
  <si>
    <t>EMERSON APARECIDO PEREIRA DA SILVA</t>
  </si>
  <si>
    <t>NILSON RODRIGUES DE SOUZA</t>
  </si>
  <si>
    <t>AIRTON ANTONIO GONÇALVES</t>
  </si>
  <si>
    <t>REGINALDO MENDES OLIVEIRA</t>
  </si>
  <si>
    <t>INACIO DOUTOR</t>
  </si>
  <si>
    <t>JOAO VITOR DOS SANTOS</t>
  </si>
  <si>
    <t>CLAUDINEI FRANCISCO FERREIRA</t>
  </si>
  <si>
    <t>LIDIOMAR DA SILVA DE SOUZA</t>
  </si>
  <si>
    <t>JOSE AUGUSTO DOS SANTOS</t>
  </si>
  <si>
    <t>EDSON RECOFKA</t>
  </si>
  <si>
    <t>NILTON DE JESUS RODRIGUES DE SOUZA</t>
  </si>
  <si>
    <t>SIDNEI DE OLIVEIRA MARIANO</t>
  </si>
  <si>
    <t>FABIANO CASTILHO CALEGARI</t>
  </si>
  <si>
    <t>EDISON VIEIRA</t>
  </si>
  <si>
    <t>RODRIGO LORENTINO</t>
  </si>
  <si>
    <t>MARCELO DA SILVA E SILVA</t>
  </si>
  <si>
    <t>ANTONIO CARLOS BRAMBILA</t>
  </si>
  <si>
    <t>JONAS GOGOLA DE ANDRADE</t>
  </si>
  <si>
    <t>RICARDO SERGIO DA SILVA</t>
  </si>
  <si>
    <t>CRISTIAN FABIANO LUIZ DA SILVA</t>
  </si>
  <si>
    <t>JOSIVAN DA SILVA OLIVEIRA</t>
  </si>
  <si>
    <t>JOSUE LOPES DE SENE</t>
  </si>
  <si>
    <t>MARCIO LEMOS MACHADO</t>
  </si>
  <si>
    <t>ODAIR GONÇALVES MIRANDA</t>
  </si>
  <si>
    <t>PEDRO VANDERLEI BRASILINO</t>
  </si>
  <si>
    <t>SERGIO APARECIDO GIRALDELLO</t>
  </si>
  <si>
    <t>WESLEY ZANETTI DE OLIVEIRA</t>
  </si>
  <si>
    <t>VALDECI CARVALHO DA SILVA JUNIOR</t>
  </si>
  <si>
    <t>JULIANA COQUES PAZ</t>
  </si>
  <si>
    <t>ELICAR JUSTINO</t>
  </si>
  <si>
    <t>CHAPECO</t>
  </si>
  <si>
    <t>ADEILSON DE OLIVEIRA ANGELINO</t>
  </si>
  <si>
    <t>DIEGO FRANCISCO DE SOUZA</t>
  </si>
  <si>
    <t>EDILSON LEITE DE CAMARGO</t>
  </si>
  <si>
    <t>RODRIGO DE SOUZA MACHADO</t>
  </si>
  <si>
    <t>FELIPE TELES DA CRUZ</t>
  </si>
  <si>
    <t>TATIANE CAXIMIRO PEREIRA</t>
  </si>
  <si>
    <t>ROGERIO FRANÇA DOS SANTOS</t>
  </si>
  <si>
    <t>KERLEI MIRANDA MARTINS</t>
  </si>
  <si>
    <t>GILMAR DA SILVA</t>
  </si>
  <si>
    <t>NIVALMIR ANTUNES</t>
  </si>
  <si>
    <t>HIGOR GABRIEL OLIVEIRA BITU</t>
  </si>
  <si>
    <t>JOSE NILSON MARTINS DE ARAUJO</t>
  </si>
  <si>
    <t>GEDIVALDO SOUZA LUZ ALVES</t>
  </si>
  <si>
    <t>NELSON SOBOTHE</t>
  </si>
  <si>
    <t>FELIPE COMAR DIAS</t>
  </si>
  <si>
    <t>GEDIELCIO CARVALHO COSTA</t>
  </si>
  <si>
    <t>LEANDRO DE OLIVEIRA FERREIRA</t>
  </si>
  <si>
    <t>FERNANDO EMIDIO DE SOUZA LIMA</t>
  </si>
  <si>
    <t>TADEU JOSE CAETANO DE SOUZA</t>
  </si>
  <si>
    <t>WANDERLEY LOPES DA SILVA</t>
  </si>
  <si>
    <t>WELLINGTON GABRIEL SANTOS ROBERTO</t>
  </si>
  <si>
    <t>LEANDRO ROBERTO DOS SANTOS</t>
  </si>
  <si>
    <t>ELUANE ANGELICA TONZAR DE LIMA</t>
  </si>
  <si>
    <t>EVERTON TEODORO DOS SANTOS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</si>
</sst>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</fills>
  <borders count="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4F81BD"/>
      </left>
      <right/>
      <top style="thin">
        <color rgb="FF4F81BD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6">
    <xf numFmtId="0" fontId="0" fillId="0" borderId="0" xfId="0"/>
    <xf numFmtId="0" fontId="2" fillId="2" borderId="0" xfId="0" applyFont="1" applyFill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0" fillId="3" borderId="0" xfId="0" applyFill="1" applyAlignment="1">
      <alignment horizontal="left" indent="1"/>
    </xf>
    <xf numFmtId="0" fontId="5" fillId="4" borderId="0" xfId="0" applyFont="1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NumberFormat="1" applyFill="1"/>
    <xf numFmtId="0" fontId="0" fillId="3" borderId="0" xfId="0" applyFont="1" applyFill="1" applyBorder="1"/>
    <xf numFmtId="0" fontId="0" fillId="3" borderId="1" xfId="0" applyFont="1" applyFill="1" applyBorder="1"/>
    <xf numFmtId="0" fontId="0" fillId="3" borderId="2" xfId="0" applyFont="1" applyFill="1" applyBorder="1" applyAlignment="1">
      <alignment horizontal="left"/>
    </xf>
    <xf numFmtId="0" fontId="0" fillId="3" borderId="0" xfId="0" applyFill="1" applyAlignment="1">
      <alignment horizontal="center"/>
    </xf>
    <xf numFmtId="0" fontId="0" fillId="3" borderId="0" xfId="0" applyFill="1" applyBorder="1"/>
    <xf numFmtId="0" fontId="0" fillId="3" borderId="2" xfId="0" applyFont="1" applyFill="1" applyBorder="1" applyAlignment="1">
      <alignment horizontal="center"/>
    </xf>
    <xf numFmtId="0" fontId="0" fillId="3" borderId="1" xfId="0" applyFill="1" applyBorder="1"/>
    <xf numFmtId="0" fontId="3" fillId="3" borderId="1" xfId="0" applyFont="1" applyFill="1" applyBorder="1"/>
    <xf numFmtId="0" fontId="3" fillId="3" borderId="2" xfId="0" applyFont="1" applyFill="1" applyBorder="1" applyAlignment="1">
      <alignment horizontal="left"/>
    </xf>
    <xf numFmtId="2" fontId="0" fillId="3" borderId="0" xfId="0" applyNumberFormat="1" applyFill="1"/>
    <xf numFmtId="44" fontId="0" fillId="3" borderId="0" xfId="1" applyFont="1" applyFill="1"/>
    <xf numFmtId="44" fontId="0" fillId="3" borderId="0" xfId="0" applyNumberFormat="1" applyFill="1"/>
    <xf numFmtId="0" fontId="6" fillId="3" borderId="1" xfId="0" applyFont="1" applyFill="1" applyBorder="1"/>
    <xf numFmtId="0" fontId="6" fillId="3" borderId="2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6" fillId="3" borderId="2" xfId="0" applyFont="1" applyFill="1" applyBorder="1" applyAlignment="1">
      <alignment horizontal="left"/>
    </xf>
    <xf numFmtId="0" fontId="7" fillId="3" borderId="1" xfId="0" applyFont="1" applyFill="1" applyBorder="1"/>
    <xf numFmtId="0" fontId="7" fillId="3" borderId="2" xfId="0" applyFont="1" applyFill="1" applyBorder="1" applyAlignment="1">
      <alignment horizontal="center"/>
    </xf>
    <xf numFmtId="0" fontId="4" fillId="3" borderId="1" xfId="0" applyFont="1" applyFill="1" applyBorder="1"/>
    <xf numFmtId="0" fontId="0" fillId="6" borderId="3" xfId="0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8" fillId="7" borderId="4" xfId="0" applyFont="1" applyFill="1" applyBorder="1"/>
    <xf numFmtId="0" fontId="0" fillId="6" borderId="0" xfId="0" applyFill="1" applyAlignment="1">
      <alignment horizontal="left"/>
    </xf>
    <xf numFmtId="0" fontId="9" fillId="3" borderId="1" xfId="0" applyFont="1" applyFill="1" applyBorder="1"/>
    <xf numFmtId="0" fontId="9" fillId="3" borderId="2" xfId="0" applyFont="1" applyFill="1" applyBorder="1" applyAlignment="1">
      <alignment horizontal="center"/>
    </xf>
    <xf numFmtId="0" fontId="10" fillId="3" borderId="1" xfId="0" applyFont="1" applyFill="1" applyBorder="1"/>
    <xf numFmtId="0" fontId="10" fillId="3" borderId="2" xfId="0" applyFont="1" applyFill="1" applyBorder="1" applyAlignment="1">
      <alignment horizontal="center"/>
    </xf>
    <xf numFmtId="0" fontId="11" fillId="3" borderId="1" xfId="0" applyFont="1" applyFill="1" applyBorder="1"/>
    <xf numFmtId="0" fontId="11" fillId="3" borderId="2" xfId="0" applyFont="1" applyFill="1" applyBorder="1" applyAlignment="1">
      <alignment horizontal="center"/>
    </xf>
    <xf numFmtId="0" fontId="8" fillId="7" borderId="0" xfId="0" applyFont="1" applyFill="1" applyBorder="1"/>
    <xf numFmtId="0" fontId="12" fillId="3" borderId="1" xfId="0" applyFont="1" applyFill="1" applyBorder="1"/>
    <xf numFmtId="0" fontId="12" fillId="3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125"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>
          <fgColor indexed="64"/>
          <bgColor theme="0" tint="-0.14999847407452621"/>
        </patternFill>
      </fill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Continuous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  <dxf>
      <fill>
        <patternFill patternType="solid">
          <bgColor theme="2" tint="-9.9978637043366805E-2"/>
        </patternFill>
      </fill>
    </dxf>
  </dxfs>
  <tableStyles count="0" defaultTableStyle="TableStyleMedium2" defaultPivotStyle="PivotStyleLight16"/>
  <colors>
    <mruColors>
      <color rgb="FF0033CC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[Extrato de Velocidade excedida 26-07 a 25-08.xlsm]Grafico!Tabela dinâmica15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Excessos de Velocidade por Filial</a:t>
            </a:r>
          </a:p>
        </c:rich>
      </c:tx>
      <c:layout>
        <c:manualLayout>
          <c:xMode val="edge"/>
          <c:yMode val="edge"/>
          <c:x val="0.33743432524531869"/>
          <c:y val="3.04040578592861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6"/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 w="0" cap="rnd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2060"/>
          </a:solidFill>
          <a:ln w="0" cap="rnd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tx2">
              <a:lumMod val="60000"/>
              <a:lumOff val="40000"/>
            </a:schemeClr>
          </a:solidFill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60000"/>
              <a:lumOff val="40000"/>
            </a:schemeClr>
          </a:solidFill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B9BD5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5B9BD5">
                  <a:alpha val="7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Grafico!$A$4:$A$16</c:f>
              <c:strCache>
                <c:ptCount val="12"/>
                <c:pt idx="0">
                  <c:v>ARAUCARIA</c:v>
                </c:pt>
                <c:pt idx="1">
                  <c:v>CAMPO GRANDE</c:v>
                </c:pt>
                <c:pt idx="2">
                  <c:v>CHAPECO</c:v>
                </c:pt>
                <c:pt idx="3">
                  <c:v>CIANORTE</c:v>
                </c:pt>
                <c:pt idx="4">
                  <c:v>GUARARAPES</c:v>
                </c:pt>
                <c:pt idx="5">
                  <c:v>ITAJAI</c:v>
                </c:pt>
                <c:pt idx="6">
                  <c:v>PAULINIA</c:v>
                </c:pt>
                <c:pt idx="7">
                  <c:v>SAO JOSE DOS CAMPOS</c:v>
                </c:pt>
                <c:pt idx="8">
                  <c:v>SARANDI</c:v>
                </c:pt>
                <c:pt idx="9">
                  <c:v>UBERABA</c:v>
                </c:pt>
                <c:pt idx="10">
                  <c:v>UBERLANDIA</c:v>
                </c:pt>
                <c:pt idx="11">
                  <c:v>VARZEA GRANDE</c:v>
                </c:pt>
              </c:strCache>
            </c:strRef>
          </c:cat>
          <c:val>
            <c:numRef>
              <c:f>Grafico!$B$4:$B$16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781-8DA8-560B67BBC7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63336480"/>
        <c:axId val="1963339808"/>
      </c:barChart>
      <c:catAx>
        <c:axId val="196333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3339808"/>
        <c:crosses val="autoZero"/>
        <c:auto val="1"/>
        <c:lblAlgn val="ctr"/>
        <c:lblOffset val="100"/>
        <c:noMultiLvlLbl val="0"/>
      </c:catAx>
      <c:valAx>
        <c:axId val="1963339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63336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accent1">
                <a:lumMod val="60000"/>
                <a:lumOff val="4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noFill/>
      <a:round/>
    </a:ln>
    <a:effectLst>
      <a:softEdge rad="0"/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[Extrato de Velocidade excedida 26-07 a 25-08.xlsm]Grafico!Tabela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MAIORES INFRATORES DO GRUPO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33000">
                <a:srgbClr val="2D72B1">
                  <a:alpha val="52000"/>
                  <a:lumMod val="98000"/>
                </a:srgbClr>
              </a:gs>
              <a:gs pos="67000">
                <a:srgbClr val="2D71B0"/>
              </a:gs>
              <a:gs pos="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33000">
                <a:srgbClr val="2D72B1">
                  <a:alpha val="52000"/>
                  <a:lumMod val="98000"/>
                </a:srgbClr>
              </a:gs>
              <a:gs pos="67000">
                <a:srgbClr val="2D71B0"/>
              </a:gs>
              <a:gs pos="0">
                <a:schemeClr val="accent1">
                  <a:lumMod val="75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4475548093253047E-2"/>
          <c:y val="0.20875000000000005"/>
          <c:w val="0.83483818352027661"/>
          <c:h val="0.400626275882181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Grafico!$E$3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33000">
                  <a:srgbClr val="2D72B1">
                    <a:alpha val="52000"/>
                    <a:lumMod val="98000"/>
                  </a:srgbClr>
                </a:gs>
                <a:gs pos="67000">
                  <a:srgbClr val="2D71B0"/>
                </a:gs>
                <a:gs pos="0">
                  <a:schemeClr val="accent1">
                    <a:lumMod val="75000"/>
                  </a:schemeClr>
                </a:gs>
                <a:gs pos="97000">
                  <a:schemeClr val="accent1">
                    <a:lumMod val="7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strRef>
              <c:f>Grafico!$D$4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Grafico!$E$4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EFB-4F6B-B42A-8FD1E3A9F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1098799"/>
        <c:axId val="651103375"/>
      </c:barChart>
      <c:catAx>
        <c:axId val="651098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103375"/>
        <c:crosses val="autoZero"/>
        <c:auto val="1"/>
        <c:lblAlgn val="ctr"/>
        <c:lblOffset val="100"/>
        <c:noMultiLvlLbl val="0"/>
      </c:catAx>
      <c:valAx>
        <c:axId val="6511033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1098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9526</xdr:rowOff>
    </xdr:from>
    <xdr:to>
      <xdr:col>19</xdr:col>
      <xdr:colOff>609599</xdr:colOff>
      <xdr:row>13</xdr:row>
      <xdr:rowOff>142875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14</xdr:row>
      <xdr:rowOff>38100</xdr:rowOff>
    </xdr:from>
    <xdr:to>
      <xdr:col>20</xdr:col>
      <xdr:colOff>28575</xdr:colOff>
      <xdr:row>28</xdr:row>
      <xdr:rowOff>114300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0</xdr:row>
      <xdr:rowOff>47625</xdr:rowOff>
    </xdr:from>
    <xdr:to>
      <xdr:col>5</xdr:col>
      <xdr:colOff>571500</xdr:colOff>
      <xdr:row>1</xdr:row>
      <xdr:rowOff>114300</xdr:rowOff>
    </xdr:to>
    <xdr:sp macro="[0]!limpar" textlink="">
      <xdr:nvSpPr>
        <xdr:cNvPr id="4" name="Retângulo 3"/>
        <xdr:cNvSpPr/>
      </xdr:nvSpPr>
      <xdr:spPr>
        <a:xfrm>
          <a:off x="6686550" y="47625"/>
          <a:ext cx="1085850" cy="257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 Planilha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Da Silva Alves" refreshedDate="46245.628951736115" createdVersion="6" refreshedVersion="6" minRefreshableVersion="3" recordCount="109">
  <cacheSource type="worksheet">
    <worksheetSource name="Tabela15"/>
  </cacheSource>
  <cacheFields count="3">
    <cacheField name="Motoristas" numFmtId="0">
      <sharedItems count="202">
        <s v="ADEILSON DE OLIVEIRA ANGELINO"/>
        <s v="AIRTON ANTONIO GONÇALVES"/>
        <s v="CLAUDINEI FRANCISCO FERREIRA"/>
        <s v="CLAUDIO JOSE KREGENSKI"/>
        <s v="DANILO CASSIANO FERREIRA"/>
        <s v="DIEISON APARECIDO DA CRUZ"/>
        <s v="DOUGLAS ENRIQUE DA SILVA LUIZ "/>
        <s v="EDILSON LEITE DE CAMARGO"/>
        <s v="EDINEI MARCOS CORDEIRO"/>
        <s v="EDISON VIEIRA"/>
        <s v="EDSON RECOFKA"/>
        <s v="EMERSON APARECIDO PEREIRA DA SILVA"/>
        <s v="FABIANO CASTILHO CALEGARI"/>
        <s v="GEDIVALDO SOUZA LUZ ALVES"/>
        <s v="GILMAR LOPACINSKI"/>
        <s v="INACIO DOUTOR"/>
        <s v="JOAO PAULO LISNIOWSKI"/>
        <s v="JONAS GOGOLA DE ANDRADE"/>
        <s v="JOSIVAN DA SILVA OLIVEIRA"/>
        <s v="JOSUE LOPES DE SENE"/>
        <s v="JULIANA COQUES PAZ"/>
        <s v="LEOMAR MOREIRA"/>
        <s v="LIDIOMAR DA SILVA DE SOUZA"/>
        <s v="MARCELO DA SILVA E SILVA"/>
        <s v="MARCIO LEMOS MACHADO"/>
        <s v="NELSON SOBOTHE"/>
        <s v="NILSON APARECIDO SAMPAIO"/>
        <s v="NILSON RODRIGUES DE SOUZA"/>
        <s v="NILTON DE JESUS RODRIGUES DE SOUZA"/>
        <s v="ODAIR GONÇALVES MIRANDA"/>
        <s v="PAULO DE MELO SILVA"/>
        <s v="PEDRO VANDERLEI BRASILINO"/>
        <s v="RICARDO SERGIO DA SILVA"/>
        <s v="RODRIGO DE SOUZA MACHADO"/>
        <s v="VALDECI CARVALHO DA SILVA JUNIOR"/>
        <s v="VALDECI FERREIRA DA SILVA JUNIOR"/>
        <s v="WANDERLEY LOPES SILVA"/>
        <s v="FELIPE TELES DA CRUZ"/>
        <s v="RENATO RIEFF MARIN"/>
        <s v="ELICAR JUSTINO"/>
        <s v="ANTONIO CARLOS BRAMBILA"/>
        <s v="APARECIDO DIAMARAES"/>
        <s v="APARECIDO JOEL SANT ANA"/>
        <s v="APARECIDO RODRIGUES DA SILVA "/>
        <s v="CARLOS ELIER PIEROLI"/>
        <s v="DENNER DOS SANTOS"/>
        <s v="DIEGO FRANCISCO DE SOUZA"/>
        <s v="ELISANGELA APARECIDA GOMES COELHO"/>
        <s v="FELIPE COMAR DIAS"/>
        <s v="GILBERTO BEZERRA PINTO"/>
        <s v="JHONATAN ALVES DOS SANTOS "/>
        <s v="JOSE CARLOS RODRIGUES"/>
        <s v="JOSE DOS SANTOS"/>
        <s v="LINCOLN FRANCEL PIMENTA"/>
        <s v="MAURILIO FERREIRA DAS NEVES"/>
        <s v="NIVALMIR ANTUNES"/>
        <s v="REGINALDO MENDES OLIVEIRA"/>
        <s v="RODOLFO MOZELLI SPAGOLLA "/>
        <s v="RODRIGO LORENTINO"/>
        <s v="SERGIO APARECIDO GIRALDELLO"/>
        <s v="VALBER JUNIOR COSTA"/>
        <s v="VILSON TOMACHAK"/>
        <s v="WESLEI RIBEIRO JACOMINI"/>
        <s v="ALEX DOUGLAS LOPES ALONSO"/>
        <s v="ANDERSON DE SOUZA SOARES GOMES"/>
        <s v="ANDERSON NUBIATO RODRIGUES DA SILVA"/>
        <s v="ANGELA MARIA GONÇALVES"/>
        <s v="ANTONIO ROBERTO BELTRAMINI"/>
        <s v="CELSO RICARDO RODRIGUES"/>
        <s v="CRISTIAN FABIANO LUIZ DA SILVA"/>
        <s v="EDE WILSON RODRIGUES"/>
        <s v="EDVALDO GONCALVES"/>
        <s v="FABIO CARLOS ARAUJO DO CARMO"/>
        <s v="FERNANDO EMIDIO DE SOUZA LIMA"/>
        <s v="GEDIELCIO CARVALHO COSTA"/>
        <s v="GILMAR DA SILVA"/>
        <s v="GILMAR FERREIRA NEVES"/>
        <s v="GUSTAVO ROBERTO PEREIRA"/>
        <s v="JHONE GIMENES SANTOS"/>
        <s v="JOAO VITOR DOS SANTOS"/>
        <s v="JOSE NILSON MARTINS DE ARAUJO"/>
        <s v="LEANDRO DE OLIVEIRA FERREIRA"/>
        <s v="LUIS HENRIQUE SANTIAGO FIALHO"/>
        <s v="MICHEL ANTONIOLI"/>
        <s v="PAULO CESAR VICENTINI"/>
        <s v="TATIANE CAXIMIRO PEREIRA"/>
        <s v="VALDINEY FERREIRA PRIMO"/>
        <s v="WESLEY ZANETTI DE OLIVEIRA"/>
        <s v="WILLIAM ANDRADE DE MOURA"/>
        <s v="FRANCISCO DAS CHAGAS CORREA CRISPIM"/>
        <s v="ROGERIO FRANÇA DOS SANTOS"/>
        <s v="SILVANO DA SILVA FREITAS "/>
        <s v="ANTONIO APARECIDO PEREIRA"/>
        <s v="JOSE AUGUSTO DOS SANTOS"/>
        <s v="RENATO PEREIRA FRANÇA"/>
        <s v="AGUINALDO DOS SANTOS TEIXEIRA"/>
        <s v="KERLEI MIRANDA MARTINS"/>
        <s v="RONAN ROMULO ANTUNES"/>
        <s v="TADEU JOSE CAETANO DE SOUZA"/>
        <s v="SIDNEI DE OLIVEIRA MARIANO"/>
        <s v="NIVALDO REIS MACHADO "/>
        <s v="SIDNEY RODRIGUES FERREIRA"/>
        <s v="WELLINGTON DE MELO BATISTA "/>
        <s v="HIGOR GABRIEL OLIVEIRA BITU"/>
        <s v="JOSE DONIZETE FERREIRA GOMES "/>
        <s v="ANTONIO JOSE DE SOUZA MARTINS"/>
        <s v="JORGE SANTOS DA SILVA"/>
        <s v="MARCOS ROBERTO DOS SANTOS"/>
        <s v="OTAVIO ROSA FRANCO"/>
        <s v="BENEDITO CLAUDIO DA SILVA" u="1"/>
        <s v="VALDECIR DA SILVA" u="1"/>
        <s v="OSMARILDO CARDOSO" u="1"/>
        <s v="CESAR GARCIA RUSSI" u="1"/>
        <s v="RICARDO MOREIRA MARCATI" u="1"/>
        <s v="ALEX PEREIRA DIAS" u="1"/>
        <s v="EDEMILSON DAMIAO DA SILVA PEREIRA" u="1"/>
        <s v="JOSE DIRCEU MARQUES" u="1"/>
        <s v="JUDSON AGUILERA" u="1"/>
        <s v="CLAUDEMIR DE OLIVEIRA ROSA" u="1"/>
        <s v="ELIAS DE LIMA ALVES" u="1"/>
        <s v="GILMAR DA SILVA DE OLIVEIRA" u="1"/>
        <s v="JUDSON LUZ" u="1"/>
        <s v="TIAGO DIAS DE BARROS " u="1"/>
        <s v="ALAN JUNIO DA SILVA" u="1"/>
        <s v="NILTON FRANCISCO DE OLIVEIRA" u="1"/>
        <s v="MENDES TOBIAS" u="1"/>
        <s v="MARCIO ROBERTO PACHECO" u="1"/>
        <s v="LUIS FERNANDO RAMALHO DE LIMA" u="1"/>
        <s v="RICARDO DE ALMEIDA OLIVEIRA" u="1"/>
        <s v="LAERCIO MOREIRA DOS SANTOS" u="1"/>
        <s v="ANTONIO DA SILVA OLIVEIRA" u="1"/>
        <s v="JOAO INACIO MOL HORNUNG" u="1"/>
        <s v="OSVALNI ALVES BOMFIM JUNIOR" u="1"/>
        <s v="MARCUS ANTONIO LOPES" u="1"/>
        <s v="JOAO FRANCISCO MOLINARI BELLO" u="1"/>
        <s v="FABIO AUGUSTO DE SOUZA" u="1"/>
        <s v="JOÃO MANOSSO JUNIOR" u="1"/>
        <s v="RENATO MENEGAT" u="1"/>
        <s v="MATHEUS PRADO DOS SANTOS" u="1"/>
        <s v="HAROLDO MACHADO DE OLIVEIRA JUNIOR" u="1"/>
        <s v="DAVID MATEUS ALVES" u="1"/>
        <s v="ROBERTO NUNES DOS SANTOS" u="1"/>
        <s v="PEDRO ANSELMO LIMA DE ALMEIDA" u="1"/>
        <s v="LUCIANO SERRI" u="1"/>
        <s v="KASSIA CRISTINA LEITE NATAL" u="1"/>
        <s v="PETERSON EDUARDO QUIORATO DA SILVA" u="1"/>
        <s v="MARCOS FILIPI DA SILVA " u="1"/>
        <s v="SIMONE RAMOS CARNEIRO" u="1"/>
        <s v="CIRINEU PERRUT DE LIMA" u="1"/>
        <s v="LUIZ CARLOS SOARES" u="1"/>
        <s v="DIRCEU DE OLIVEIRA " u="1"/>
        <s v="GILMAR RODRIGUES ROSA" u="1"/>
        <s v="JURANDIR LEITAO NASCIMENTO" u="1"/>
        <s v="JOSE ROBERTO ALVES" u="1"/>
        <s v="ELIZEU CORREA DE MELLO" u="1"/>
        <s v="FRANEYKSON LIMA DOS SANTOS" u="1"/>
        <s v="JAUBERT PEREIRA BENICIO DE ALMEIDA" u="1"/>
        <s v="REGINALDO ANTUNES" u="1"/>
        <s v="DANIEL CORDEIRO" u="1"/>
        <s v="ACIR PIRES FERNANDES" u="1"/>
        <s v="DANILO HORNING TETER" u="1"/>
        <s v="DAVI MARTINS" u="1"/>
        <s v="MARCOS LOPES " u="1"/>
        <s v="JOÃO FRANCISCO ALVES DOS SANTOS" u="1"/>
        <s v="ELIANO SANTOS PINHEIRO" u="1"/>
        <s v="EVERTON BORGES FERREIRA" u="1"/>
        <s v="MARCELO RODRIGUES DE ALMEIDA" u="1"/>
        <s v="MACKLEI DIACOMO DA SILVA" u="1"/>
        <s v="VANIA DO NASCIMENTO CIRIBERTO" u="1"/>
        <s v="BRUNO ALEXANDRE DOS SANTOS" u="1"/>
        <s v="ADENILSON LANGNER HORNING" u="1"/>
        <s v="ADRIANO MARTINS FERNANDES" u="1"/>
        <s v="JURANDIR BRITO DO AMARAL" u="1"/>
        <s v="EDSON ROBERTO STANICHESCKI" u="1"/>
        <s v="JOAO MANOSSO JUNIOR" u="1"/>
        <s v="WILIAM JESUS SANTOS" u="1"/>
        <s v="ELIANE MENEGHETTI BAGGIO" u="1"/>
        <s v="VALTENE BORGES DE FREITAS" u="1"/>
        <s v="ADILSON RIBEIRO FRAGOZO" u="1"/>
        <s v="CLEBER ARGENTE ALVES" u="1"/>
        <s v="FLAVIO CORREA DARINI" u="1"/>
        <s v="DOUGLAS DE JESUS LOPES" u="1"/>
        <s v="FELIPE GUSTAVO DE AVILA" u="1"/>
        <s v="CLEBER ALEXANDRE PRESTES DE OLIVEIRA" u="1"/>
        <s v="ADILSON ALVES DE ALMEIDA" u="1"/>
        <s v="JULIANO ARAUJO DIPP" u="1"/>
        <s v="RICHARDSON CORREA DE ASSIS" u="1"/>
        <s v="ARGEMIRO GRATZ JUNIOR" u="1"/>
        <s v="WESLEI ZANETTI DE OLIVEIRA" u="1"/>
        <s v="NAEL DE MELO" u="1"/>
        <s v="ADEILSON DE OLIVEIRA  ANGELINO" u="1"/>
        <s v="ANDRE LUIZ PEREIRA" u="1"/>
        <s v="SERGIO APARECIDO GIRARDELLO" u="1"/>
        <s v="ABRAIR SANTOS AMARAL" u="1"/>
        <s v="JOEL HORNING" u="1"/>
        <s v="EDUARDO BASTOS MONTEIRO" u="1"/>
        <s v="ADENILSON VIEIRA DA SILVA" u="1"/>
        <s v="CLOVIS DONIZETE DA SILVA SANTA" u="1"/>
        <s v="DANIEL FERNANDO DA SILVA MORAIS DAS NEVES" u="1"/>
        <s v="CEZAR VALENTIM CARASEK" u="1"/>
        <s v="REGINALDO DE OLIVEIRA BARBOSA" u="1"/>
        <s v="LUIS FERNANDO MOREIRA DA SILVA" u="1"/>
      </sharedItems>
    </cacheField>
    <cacheField name="Filial" numFmtId="0">
      <sharedItems count="13">
        <s v="ARAUCARIA"/>
        <s v="CAMPO GRANDE"/>
        <s v="CHAPECO"/>
        <s v="CIANORTE"/>
        <s v="GUARARAPES"/>
        <s v="ITAJAI"/>
        <s v="PAULINIA"/>
        <s v="SAO JOSE DOS CAMPOS"/>
        <s v="SARANDI"/>
        <s v="UBERABA"/>
        <s v="UBERLANDIA"/>
        <s v="VARZEA GRANDE"/>
        <s v="BAURU" u="1"/>
      </sharedItems>
    </cacheField>
    <cacheField name="Picos de Velocidad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9">
  <r>
    <x v="0"/>
    <x v="0"/>
    <n v="0"/>
  </r>
  <r>
    <x v="1"/>
    <x v="0"/>
    <n v="0"/>
  </r>
  <r>
    <x v="2"/>
    <x v="0"/>
    <n v="0"/>
  </r>
  <r>
    <x v="3"/>
    <x v="0"/>
    <n v="0"/>
  </r>
  <r>
    <x v="4"/>
    <x v="0"/>
    <n v="0"/>
  </r>
  <r>
    <x v="5"/>
    <x v="0"/>
    <n v="0"/>
  </r>
  <r>
    <x v="6"/>
    <x v="0"/>
    <n v="0"/>
  </r>
  <r>
    <x v="7"/>
    <x v="0"/>
    <n v="0"/>
  </r>
  <r>
    <x v="8"/>
    <x v="0"/>
    <n v="0"/>
  </r>
  <r>
    <x v="9"/>
    <x v="0"/>
    <n v="0"/>
  </r>
  <r>
    <x v="10"/>
    <x v="0"/>
    <n v="0"/>
  </r>
  <r>
    <x v="11"/>
    <x v="0"/>
    <n v="0"/>
  </r>
  <r>
    <x v="12"/>
    <x v="0"/>
    <n v="0"/>
  </r>
  <r>
    <x v="13"/>
    <x v="0"/>
    <n v="0"/>
  </r>
  <r>
    <x v="14"/>
    <x v="0"/>
    <n v="0"/>
  </r>
  <r>
    <x v="15"/>
    <x v="0"/>
    <n v="0"/>
  </r>
  <r>
    <x v="16"/>
    <x v="0"/>
    <n v="0"/>
  </r>
  <r>
    <x v="17"/>
    <x v="0"/>
    <n v="0"/>
  </r>
  <r>
    <x v="18"/>
    <x v="0"/>
    <n v="0"/>
  </r>
  <r>
    <x v="19"/>
    <x v="0"/>
    <n v="0"/>
  </r>
  <r>
    <x v="20"/>
    <x v="0"/>
    <n v="0"/>
  </r>
  <r>
    <x v="21"/>
    <x v="0"/>
    <n v="0"/>
  </r>
  <r>
    <x v="22"/>
    <x v="0"/>
    <n v="0"/>
  </r>
  <r>
    <x v="23"/>
    <x v="0"/>
    <n v="0"/>
  </r>
  <r>
    <x v="24"/>
    <x v="0"/>
    <n v="0"/>
  </r>
  <r>
    <x v="25"/>
    <x v="0"/>
    <n v="0"/>
  </r>
  <r>
    <x v="26"/>
    <x v="0"/>
    <n v="0"/>
  </r>
  <r>
    <x v="27"/>
    <x v="0"/>
    <n v="0"/>
  </r>
  <r>
    <x v="28"/>
    <x v="0"/>
    <n v="0"/>
  </r>
  <r>
    <x v="29"/>
    <x v="0"/>
    <n v="0"/>
  </r>
  <r>
    <x v="30"/>
    <x v="0"/>
    <n v="0"/>
  </r>
  <r>
    <x v="31"/>
    <x v="0"/>
    <n v="0"/>
  </r>
  <r>
    <x v="32"/>
    <x v="0"/>
    <n v="0"/>
  </r>
  <r>
    <x v="33"/>
    <x v="0"/>
    <n v="0"/>
  </r>
  <r>
    <x v="34"/>
    <x v="0"/>
    <n v="0"/>
  </r>
  <r>
    <x v="35"/>
    <x v="0"/>
    <n v="0"/>
  </r>
  <r>
    <x v="36"/>
    <x v="0"/>
    <n v="0"/>
  </r>
  <r>
    <x v="37"/>
    <x v="1"/>
    <n v="0"/>
  </r>
  <r>
    <x v="38"/>
    <x v="1"/>
    <n v="0"/>
  </r>
  <r>
    <x v="39"/>
    <x v="2"/>
    <n v="0"/>
  </r>
  <r>
    <x v="40"/>
    <x v="3"/>
    <n v="0"/>
  </r>
  <r>
    <x v="41"/>
    <x v="3"/>
    <n v="0"/>
  </r>
  <r>
    <x v="42"/>
    <x v="3"/>
    <n v="0"/>
  </r>
  <r>
    <x v="43"/>
    <x v="3"/>
    <n v="0"/>
  </r>
  <r>
    <x v="44"/>
    <x v="3"/>
    <n v="0"/>
  </r>
  <r>
    <x v="45"/>
    <x v="3"/>
    <n v="0"/>
  </r>
  <r>
    <x v="46"/>
    <x v="3"/>
    <n v="0"/>
  </r>
  <r>
    <x v="47"/>
    <x v="3"/>
    <n v="0"/>
  </r>
  <r>
    <x v="48"/>
    <x v="3"/>
    <n v="0"/>
  </r>
  <r>
    <x v="49"/>
    <x v="3"/>
    <n v="0"/>
  </r>
  <r>
    <x v="50"/>
    <x v="3"/>
    <n v="0"/>
  </r>
  <r>
    <x v="51"/>
    <x v="3"/>
    <n v="0"/>
  </r>
  <r>
    <x v="52"/>
    <x v="3"/>
    <n v="0"/>
  </r>
  <r>
    <x v="53"/>
    <x v="3"/>
    <n v="0"/>
  </r>
  <r>
    <x v="54"/>
    <x v="3"/>
    <n v="0"/>
  </r>
  <r>
    <x v="55"/>
    <x v="3"/>
    <n v="0"/>
  </r>
  <r>
    <x v="56"/>
    <x v="3"/>
    <n v="0"/>
  </r>
  <r>
    <x v="57"/>
    <x v="3"/>
    <n v="0"/>
  </r>
  <r>
    <x v="58"/>
    <x v="3"/>
    <n v="0"/>
  </r>
  <r>
    <x v="59"/>
    <x v="3"/>
    <n v="0"/>
  </r>
  <r>
    <x v="60"/>
    <x v="3"/>
    <n v="0"/>
  </r>
  <r>
    <x v="61"/>
    <x v="3"/>
    <n v="0"/>
  </r>
  <r>
    <x v="62"/>
    <x v="3"/>
    <n v="0"/>
  </r>
  <r>
    <x v="63"/>
    <x v="4"/>
    <n v="0"/>
  </r>
  <r>
    <x v="64"/>
    <x v="4"/>
    <n v="0"/>
  </r>
  <r>
    <x v="65"/>
    <x v="4"/>
    <n v="0"/>
  </r>
  <r>
    <x v="66"/>
    <x v="4"/>
    <n v="0"/>
  </r>
  <r>
    <x v="67"/>
    <x v="4"/>
    <n v="0"/>
  </r>
  <r>
    <x v="68"/>
    <x v="4"/>
    <n v="0"/>
  </r>
  <r>
    <x v="69"/>
    <x v="4"/>
    <n v="0"/>
  </r>
  <r>
    <x v="70"/>
    <x v="4"/>
    <n v="0"/>
  </r>
  <r>
    <x v="71"/>
    <x v="4"/>
    <n v="0"/>
  </r>
  <r>
    <x v="72"/>
    <x v="4"/>
    <n v="0"/>
  </r>
  <r>
    <x v="73"/>
    <x v="4"/>
    <n v="0"/>
  </r>
  <r>
    <x v="74"/>
    <x v="4"/>
    <n v="0"/>
  </r>
  <r>
    <x v="75"/>
    <x v="4"/>
    <n v="0"/>
  </r>
  <r>
    <x v="76"/>
    <x v="4"/>
    <n v="0"/>
  </r>
  <r>
    <x v="77"/>
    <x v="4"/>
    <n v="0"/>
  </r>
  <r>
    <x v="78"/>
    <x v="4"/>
    <n v="0"/>
  </r>
  <r>
    <x v="79"/>
    <x v="4"/>
    <n v="0"/>
  </r>
  <r>
    <x v="80"/>
    <x v="4"/>
    <n v="0"/>
  </r>
  <r>
    <x v="81"/>
    <x v="4"/>
    <n v="0"/>
  </r>
  <r>
    <x v="82"/>
    <x v="4"/>
    <n v="0"/>
  </r>
  <r>
    <x v="83"/>
    <x v="4"/>
    <n v="0"/>
  </r>
  <r>
    <x v="84"/>
    <x v="4"/>
    <n v="0"/>
  </r>
  <r>
    <x v="85"/>
    <x v="4"/>
    <n v="0"/>
  </r>
  <r>
    <x v="86"/>
    <x v="4"/>
    <n v="0"/>
  </r>
  <r>
    <x v="87"/>
    <x v="4"/>
    <n v="0"/>
  </r>
  <r>
    <x v="88"/>
    <x v="4"/>
    <n v="0"/>
  </r>
  <r>
    <x v="89"/>
    <x v="5"/>
    <n v="0"/>
  </r>
  <r>
    <x v="90"/>
    <x v="5"/>
    <n v="0"/>
  </r>
  <r>
    <x v="91"/>
    <x v="5"/>
    <n v="0"/>
  </r>
  <r>
    <x v="92"/>
    <x v="6"/>
    <n v="0"/>
  </r>
  <r>
    <x v="93"/>
    <x v="6"/>
    <n v="0"/>
  </r>
  <r>
    <x v="94"/>
    <x v="6"/>
    <n v="0"/>
  </r>
  <r>
    <x v="95"/>
    <x v="7"/>
    <n v="0"/>
  </r>
  <r>
    <x v="96"/>
    <x v="7"/>
    <n v="0"/>
  </r>
  <r>
    <x v="97"/>
    <x v="7"/>
    <n v="0"/>
  </r>
  <r>
    <x v="98"/>
    <x v="7"/>
    <n v="0"/>
  </r>
  <r>
    <x v="99"/>
    <x v="8"/>
    <n v="0"/>
  </r>
  <r>
    <x v="100"/>
    <x v="9"/>
    <n v="0"/>
  </r>
  <r>
    <x v="101"/>
    <x v="9"/>
    <n v="0"/>
  </r>
  <r>
    <x v="102"/>
    <x v="9"/>
    <n v="0"/>
  </r>
  <r>
    <x v="103"/>
    <x v="10"/>
    <n v="0"/>
  </r>
  <r>
    <x v="104"/>
    <x v="10"/>
    <n v="0"/>
  </r>
  <r>
    <x v="105"/>
    <x v="11"/>
    <n v="0"/>
  </r>
  <r>
    <x v="106"/>
    <x v="11"/>
    <n v="0"/>
  </r>
  <r>
    <x v="107"/>
    <x v="11"/>
    <n v="0"/>
  </r>
  <r>
    <x v="108"/>
    <x v="1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5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16" firstHeaderRow="1" firstDataRow="1" firstDataCol="1"/>
  <pivotFields count="3">
    <pivotField showAll="0"/>
    <pivotField axis="axisRow" showAll="0">
      <items count="14">
        <item x="0"/>
        <item m="1" x="12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1"/>
  </rowFields>
  <rowItems count="13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oma de Picos de Velocidade" fld="2" baseField="0" baseItem="0"/>
  </dataFields>
  <formats count="7"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1" type="button" dataOnly="0" labelOnly="1" outline="0" axis="axisRow" fieldPosition="0"/>
    </format>
    <format dxfId="114">
      <pivotArea dataOnly="0" labelOnly="1" outline="0" axis="axisValues" fieldPosition="0"/>
    </format>
    <format dxfId="113">
      <pivotArea dataOnly="0" labelOnly="1" fieldPosition="0">
        <references count="1">
          <reference field="1" count="0"/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</formats>
  <chartFormats count="1"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D3:E4" firstHeaderRow="1" firstDataRow="1" firstDataCol="1"/>
  <pivotFields count="3">
    <pivotField axis="axisRow" showAll="0" measureFilter="1">
      <items count="203">
        <item m="1" x="193"/>
        <item m="1" x="196"/>
        <item m="1" x="184"/>
        <item m="1" x="178"/>
        <item m="1" x="171"/>
        <item x="95"/>
        <item x="1"/>
        <item m="1" x="123"/>
        <item x="63"/>
        <item m="1" x="114"/>
        <item x="64"/>
        <item x="65"/>
        <item m="1" x="191"/>
        <item x="66"/>
        <item x="92"/>
        <item m="1" x="130"/>
        <item x="105"/>
        <item x="67"/>
        <item x="41"/>
        <item x="42"/>
        <item x="43"/>
        <item m="1" x="187"/>
        <item m="1" x="169"/>
        <item x="44"/>
        <item x="68"/>
        <item m="1" x="112"/>
        <item m="1" x="199"/>
        <item m="1" x="118"/>
        <item x="3"/>
        <item m="1" x="179"/>
        <item m="1" x="197"/>
        <item m="1" x="158"/>
        <item x="4"/>
        <item m="1" x="160"/>
        <item x="45"/>
        <item m="1" x="150"/>
        <item x="6"/>
        <item x="70"/>
        <item m="1" x="115"/>
        <item x="8"/>
        <item m="1" x="173"/>
        <item m="1" x="195"/>
        <item x="71"/>
        <item m="1" x="176"/>
        <item m="1" x="164"/>
        <item m="1" x="119"/>
        <item x="47"/>
        <item m="1" x="154"/>
        <item x="11"/>
        <item m="1" x="135"/>
        <item x="72"/>
        <item m="1" x="180"/>
        <item x="89"/>
        <item x="49"/>
        <item x="76"/>
        <item x="14"/>
        <item m="1" x="151"/>
        <item x="77"/>
        <item m="1" x="156"/>
        <item x="50"/>
        <item x="78"/>
        <item m="1" x="163"/>
        <item m="1" x="134"/>
        <item m="1" x="131"/>
        <item x="16"/>
        <item x="106"/>
        <item x="51"/>
        <item x="104"/>
        <item x="52"/>
        <item m="1" x="153"/>
        <item m="1" x="117"/>
        <item m="1" x="121"/>
        <item m="1" x="185"/>
        <item m="1" x="172"/>
        <item m="1" x="152"/>
        <item m="1" x="129"/>
        <item x="21"/>
        <item x="53"/>
        <item m="1" x="201"/>
        <item m="1" x="127"/>
        <item x="82"/>
        <item m="1" x="149"/>
        <item m="1" x="166"/>
        <item m="1" x="146"/>
        <item m="1" x="162"/>
        <item x="107"/>
        <item m="1" x="133"/>
        <item x="54"/>
        <item m="1" x="125"/>
        <item x="83"/>
        <item m="1" x="189"/>
        <item x="26"/>
        <item x="27"/>
        <item m="1" x="124"/>
        <item x="100"/>
        <item m="1" x="111"/>
        <item m="1" x="132"/>
        <item x="108"/>
        <item x="84"/>
        <item x="30"/>
        <item m="1" x="145"/>
        <item x="56"/>
        <item x="94"/>
        <item x="38"/>
        <item m="1" x="128"/>
        <item m="1" x="113"/>
        <item m="1" x="186"/>
        <item m="1" x="141"/>
        <item x="57"/>
        <item x="97"/>
        <item m="1" x="192"/>
        <item x="101"/>
        <item x="91"/>
        <item m="1" x="147"/>
        <item x="85"/>
        <item m="1" x="122"/>
        <item x="60"/>
        <item x="35"/>
        <item m="1" x="110"/>
        <item x="86"/>
        <item m="1" x="177"/>
        <item x="61"/>
        <item x="102"/>
        <item x="62"/>
        <item m="1" x="175"/>
        <item x="88"/>
        <item m="1" x="194"/>
        <item m="1" x="159"/>
        <item m="1" x="139"/>
        <item x="15"/>
        <item m="1" x="155"/>
        <item m="1" x="140"/>
        <item m="1" x="137"/>
        <item x="79"/>
        <item m="1" x="109"/>
        <item m="1" x="182"/>
        <item m="1" x="126"/>
        <item m="1" x="181"/>
        <item m="1" x="143"/>
        <item x="2"/>
        <item x="22"/>
        <item m="1" x="168"/>
        <item m="1" x="183"/>
        <item x="93"/>
        <item m="1" x="174"/>
        <item m="1" x="136"/>
        <item x="10"/>
        <item x="28"/>
        <item x="99"/>
        <item x="12"/>
        <item m="1" x="144"/>
        <item m="1" x="170"/>
        <item x="9"/>
        <item m="1" x="116"/>
        <item x="5"/>
        <item m="1" x="167"/>
        <item x="58"/>
        <item x="23"/>
        <item x="40"/>
        <item x="17"/>
        <item m="1" x="157"/>
        <item x="32"/>
        <item x="36"/>
        <item m="1" x="188"/>
        <item m="1" x="138"/>
        <item x="69"/>
        <item m="1" x="190"/>
        <item x="18"/>
        <item x="19"/>
        <item x="24"/>
        <item x="29"/>
        <item x="31"/>
        <item m="1" x="200"/>
        <item x="20"/>
        <item x="34"/>
        <item x="59"/>
        <item x="87"/>
        <item x="39"/>
        <item x="0"/>
        <item x="7"/>
        <item m="1" x="165"/>
        <item x="33"/>
        <item m="1" x="148"/>
        <item x="46"/>
        <item x="37"/>
        <item x="90"/>
        <item x="55"/>
        <item x="75"/>
        <item m="1" x="198"/>
        <item x="96"/>
        <item x="80"/>
        <item m="1" x="161"/>
        <item x="103"/>
        <item x="13"/>
        <item m="1" x="120"/>
        <item x="25"/>
        <item x="48"/>
        <item m="1" x="142"/>
        <item x="74"/>
        <item x="81"/>
        <item x="73"/>
        <item x="98"/>
        <item t="default"/>
      </items>
    </pivotField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a de Picos de Velocidade" fld="2" baseField="0" baseItem="0"/>
  </dataFields>
  <formats count="7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0" type="button" dataOnly="0" labelOnly="1" outline="0" axis="axisRow" fieldPosition="0"/>
    </format>
    <format dxfId="121">
      <pivotArea dataOnly="0" labelOnly="1" outline="0" axis="axisValues" fieldPosition="0"/>
    </format>
    <format dxfId="120">
      <pivotArea dataOnly="0" labelOnly="1" fieldPosition="0">
        <references count="1">
          <reference field="0" count="9">
            <x v="0"/>
            <x v="3"/>
            <x v="31"/>
            <x v="38"/>
            <x v="44"/>
            <x v="55"/>
            <x v="62"/>
            <x v="82"/>
            <x v="95"/>
          </reference>
        </references>
      </pivotArea>
    </format>
    <format dxfId="119">
      <pivotArea dataOnly="0" labelOnly="1" grandRow="1" outline="0" fieldPosition="0"/>
    </format>
    <format dxfId="118">
      <pivotArea dataOnly="0" labelOnly="1" outline="0" axis="axisValues" fieldPosition="0"/>
    </format>
  </format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valueGreaterThanOrEqual" evalOrder="-1" id="1" iMeasureFld="0">
      <autoFilter ref="A1">
        <filterColumn colId="0">
          <customFilters>
            <customFilter operator="greaterThanOrEqual" val="1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5" name="Tabela15" displayName="Tabela15" ref="A2:C115" totalsRowCount="1" headerRowDxfId="108" dataDxfId="107" totalsRowDxfId="106">
  <autoFilter ref="A2:C114"/>
  <sortState ref="A3:C134">
    <sortCondition ref="B2:B134"/>
  </sortState>
  <tableColumns count="3">
    <tableColumn id="1" name="Motoristas" dataDxfId="105" totalsRowDxfId="104"/>
    <tableColumn id="2" name="Filial" dataDxfId="103" totalsRowDxfId="102"/>
    <tableColumn id="3" name="Picos de Velocidade" totalsRowFunction="sum" dataDxfId="101" totalsRowDxfId="10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2:C42" totalsRowCount="1" headerRowDxfId="99" dataDxfId="98" totalsRowDxfId="97">
  <autoFilter ref="A2:C41"/>
  <sortState ref="A3:C43">
    <sortCondition ref="A2:A43"/>
  </sortState>
  <tableColumns count="3">
    <tableColumn id="1" name="Motoristas" dataDxfId="96" totalsRowDxfId="5"/>
    <tableColumn id="2" name="Filial" dataDxfId="95" totalsRowDxfId="4"/>
    <tableColumn id="3" name="Picos de Velocidade" totalsRowFunction="sum" dataDxfId="94" totalsRow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4" name="Tabela4" displayName="Tabela4" ref="A2:C4" totalsRowShown="0" headerRowDxfId="93" dataDxfId="92">
  <autoFilter ref="A2:C4"/>
  <tableColumns count="3">
    <tableColumn id="1" name="Motoristas" dataDxfId="91"/>
    <tableColumn id="2" name="Filial" dataDxfId="90"/>
    <tableColumn id="3" name="Picos de Velocidade" dataDxfId="89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5" name="Tabela5" displayName="Tabela5" ref="A2:C4" totalsRowCount="1" headerRowDxfId="88" dataDxfId="87" totalsRowDxfId="86">
  <autoFilter ref="A2:C3"/>
  <tableColumns count="3">
    <tableColumn id="1" name="Motoristas" dataDxfId="85" totalsRowDxfId="84"/>
    <tableColumn id="2" name="Filial" dataDxfId="83" totalsRowDxfId="82"/>
    <tableColumn id="3" name="Picos de Velocidade" totalsRowFunction="sum" dataDxfId="81" totalsRowDxfId="8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id="6" name="Tabela6" displayName="Tabela6" ref="A2:C26" totalsRowCount="1" headerRowDxfId="79" dataDxfId="78" totalsRowDxfId="77">
  <sortState ref="A3:C28">
    <sortCondition ref="A2:A28"/>
  </sortState>
  <tableColumns count="3">
    <tableColumn id="1" name="Motoristas" dataDxfId="76" totalsRowDxfId="11"/>
    <tableColumn id="2" name="Filial" dataDxfId="75" totalsRowDxfId="10"/>
    <tableColumn id="3" name="Picos de Velocidade" totalsRowFunction="sum" dataDxfId="74" totalsRowDxfId="9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id="7" name="Tabela7" displayName="Tabela7" ref="A2:C29" totalsRowCount="1" headerRowDxfId="73" dataDxfId="72" totalsRowDxfId="71">
  <autoFilter ref="A2:C28"/>
  <sortState ref="A3:C27">
    <sortCondition ref="A2:A27"/>
  </sortState>
  <tableColumns count="3">
    <tableColumn id="1" name="Motoristas" dataDxfId="70" totalsRowDxfId="2"/>
    <tableColumn id="2" name="Filial" dataDxfId="69" totalsRowDxfId="1"/>
    <tableColumn id="3" name="Picos de Velocidade" totalsRowFunction="sum" dataDxfId="68" totalsRowDxfId="0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id="8" name="Tabela8" displayName="Tabela8" ref="A2:C6" totalsRowCount="1" headerRowDxfId="67" dataDxfId="66" totalsRowDxfId="65">
  <autoFilter ref="A2:C5"/>
  <tableColumns count="3">
    <tableColumn id="1" name="Motoristas" dataDxfId="64" totalsRowDxfId="14"/>
    <tableColumn id="2" name="Filial" dataDxfId="63" totalsRowDxfId="13"/>
    <tableColumn id="3" name="Picos de Velocidade" totalsRowFunction="sum" dataDxfId="62" totalsRowDxfId="12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id="9" name="Tabela810" displayName="Tabela810" ref="A2:C6" totalsRowCount="1" headerRowDxfId="61" dataDxfId="60" totalsRowDxfId="59">
  <autoFilter ref="A2:C5"/>
  <sortState ref="A3:C19">
    <sortCondition ref="A2:A19"/>
  </sortState>
  <tableColumns count="3">
    <tableColumn id="1" name="Motoristas" dataDxfId="58" totalsRowDxfId="57"/>
    <tableColumn id="2" name="Filial" dataDxfId="56" totalsRowDxfId="55"/>
    <tableColumn id="3" name="Picos de Velocidade" totalsRowFunction="sum" dataDxfId="54" totalsRowDxfId="53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id="10" name="Tabela81011" displayName="Tabela81011" ref="A2:C7" totalsRowCount="1" headerRowDxfId="52" dataDxfId="51" totalsRowDxfId="50">
  <autoFilter ref="A2:C6"/>
  <sortState ref="A3:C8">
    <sortCondition ref="A2:A8"/>
  </sortState>
  <tableColumns count="3">
    <tableColumn id="1" name="Motoristas" dataDxfId="49" totalsRowDxfId="17"/>
    <tableColumn id="2" name="Filial" dataDxfId="48" totalsRowDxfId="16"/>
    <tableColumn id="3" name="Picos de Velocidade" totalsRowFunction="sum" dataDxfId="47" totalsRowDxfId="15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id="11" name="Tabela312" displayName="Tabela312" ref="A2:C3" totalsRowShown="0" headerRowDxfId="46" dataDxfId="45">
  <autoFilter ref="A2:C3"/>
  <tableColumns count="3">
    <tableColumn id="1" name="Motoristas" dataDxfId="44"/>
    <tableColumn id="2" name="Filial" dataDxfId="43"/>
    <tableColumn id="3" name="Picos de Velocidade" dataDxfId="42"/>
  </tableColumns>
  <tableStyleInfo name="TableStyleLight13" showFirstColumn="0" showLastColumn="0" showRowStripes="1" showColumnStripes="0"/>
</table>
</file>

<file path=xl/tables/table11.xml><?xml version="1.0" encoding="utf-8"?>
<table xmlns="http://schemas.openxmlformats.org/spreadsheetml/2006/main" id="12" name="Tabela8101113" displayName="Tabela8101113" ref="A2:C6" totalsRowCount="1" headerRowDxfId="41" dataDxfId="40" totalsRowDxfId="39">
  <autoFilter ref="A2:C5"/>
  <sortState ref="A3:C19">
    <sortCondition ref="A2:A19"/>
  </sortState>
  <tableColumns count="3">
    <tableColumn id="1" name="Motoristas" dataDxfId="38" totalsRowDxfId="8"/>
    <tableColumn id="2" name="Filial" dataDxfId="37" totalsRowDxfId="7"/>
    <tableColumn id="3" name="Picos de Velocidade" totalsRowFunction="sum" dataDxfId="36" totalsRowDxfId="6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id="13" name="Tabela810111314" displayName="Tabela810111314" ref="A2:C5" totalsRowCount="1" headerRowDxfId="35" dataDxfId="34" totalsRowDxfId="33">
  <autoFilter ref="A2:C4"/>
  <sortState ref="A3:C19">
    <sortCondition ref="A2:A19"/>
  </sortState>
  <tableColumns count="3">
    <tableColumn id="1" name="Motoristas" dataDxfId="32" totalsRowDxfId="20"/>
    <tableColumn id="2" name="Filial" dataDxfId="31" totalsRowDxfId="19"/>
    <tableColumn id="3" name="Picos de Velocidade" totalsRowFunction="sum" dataDxfId="30" totalsRowDxfId="18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id="14" name="Tabela81015" displayName="Tabela81015" ref="A2:C8" totalsRowCount="1" headerRowDxfId="29" dataDxfId="28" totalsRowDxfId="27">
  <autoFilter ref="A2:C7"/>
  <sortState ref="A3:C14">
    <sortCondition ref="A2:A14"/>
  </sortState>
  <tableColumns count="3">
    <tableColumn id="1" name="Motoristas" dataDxfId="26" totalsRowDxfId="25"/>
    <tableColumn id="2" name="Filial" dataDxfId="24" totalsRowDxfId="23"/>
    <tableColumn id="3" name="Picos de Velocidade" totalsRowFunction="sum" dataDxfId="22" totalsRowDxfId="2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3:F291"/>
  <sheetViews>
    <sheetView showGridLines="0" topLeftCell="F1" workbookViewId="0">
      <selection activeCell="Y8" sqref="Y8"/>
    </sheetView>
  </sheetViews>
  <sheetFormatPr defaultRowHeight="15" outlineLevelCol="1" x14ac:dyDescent="0.25"/>
  <cols>
    <col min="1" max="1" width="22" style="3" hidden="1" customWidth="1" outlineLevel="1"/>
    <col min="2" max="2" width="27.28515625" style="3" hidden="1" customWidth="1" outlineLevel="1"/>
    <col min="3" max="3" width="15.7109375" style="3" hidden="1" customWidth="1" outlineLevel="1"/>
    <col min="4" max="4" width="36.28515625" style="3" hidden="1" customWidth="1" outlineLevel="1"/>
    <col min="5" max="5" width="27.28515625" style="3" hidden="1" customWidth="1" outlineLevel="1"/>
    <col min="6" max="6" width="27.28515625" style="3" bestFit="1" customWidth="1" collapsed="1"/>
    <col min="7" max="16384" width="9.140625" style="3"/>
  </cols>
  <sheetData>
    <row r="3" spans="1:6" x14ac:dyDescent="0.25">
      <c r="A3" s="3" t="s">
        <v>67</v>
      </c>
      <c r="B3" s="3" t="s">
        <v>68</v>
      </c>
      <c r="D3" s="9" t="s">
        <v>67</v>
      </c>
      <c r="E3" s="9" t="s">
        <v>68</v>
      </c>
    </row>
    <row r="4" spans="1:6" x14ac:dyDescent="0.25">
      <c r="A4" s="4" t="s">
        <v>56</v>
      </c>
      <c r="B4" s="5">
        <v>0</v>
      </c>
      <c r="D4" s="10" t="s">
        <v>69</v>
      </c>
      <c r="E4" s="11"/>
      <c r="F4" s="5"/>
    </row>
    <row r="5" spans="1:6" x14ac:dyDescent="0.25">
      <c r="A5" s="4" t="s">
        <v>57</v>
      </c>
      <c r="B5" s="5">
        <v>0</v>
      </c>
      <c r="D5"/>
      <c r="E5"/>
      <c r="F5" s="5"/>
    </row>
    <row r="6" spans="1:6" x14ac:dyDescent="0.25">
      <c r="A6" s="4" t="s">
        <v>106</v>
      </c>
      <c r="B6" s="5">
        <v>0</v>
      </c>
      <c r="D6"/>
      <c r="E6"/>
      <c r="F6" s="5"/>
    </row>
    <row r="7" spans="1:6" x14ac:dyDescent="0.25">
      <c r="A7" s="4" t="s">
        <v>11</v>
      </c>
      <c r="B7" s="5">
        <v>0</v>
      </c>
      <c r="D7"/>
      <c r="E7"/>
      <c r="F7" s="5"/>
    </row>
    <row r="8" spans="1:6" x14ac:dyDescent="0.25">
      <c r="A8" s="4" t="s">
        <v>58</v>
      </c>
      <c r="B8" s="5">
        <v>0</v>
      </c>
      <c r="D8"/>
      <c r="E8"/>
      <c r="F8" s="5"/>
    </row>
    <row r="9" spans="1:6" x14ac:dyDescent="0.25">
      <c r="A9" s="4" t="s">
        <v>42</v>
      </c>
      <c r="B9" s="5">
        <v>0</v>
      </c>
      <c r="D9"/>
      <c r="E9"/>
      <c r="F9" s="5"/>
    </row>
    <row r="10" spans="1:6" x14ac:dyDescent="0.25">
      <c r="A10" s="4" t="s">
        <v>59</v>
      </c>
      <c r="B10" s="5">
        <v>0</v>
      </c>
      <c r="D10"/>
      <c r="E10"/>
      <c r="F10" s="5"/>
    </row>
    <row r="11" spans="1:6" x14ac:dyDescent="0.25">
      <c r="A11" s="4" t="s">
        <v>60</v>
      </c>
      <c r="B11" s="5">
        <v>0</v>
      </c>
      <c r="D11"/>
      <c r="E11"/>
      <c r="F11" s="5"/>
    </row>
    <row r="12" spans="1:6" x14ac:dyDescent="0.25">
      <c r="A12" s="4" t="s">
        <v>61</v>
      </c>
      <c r="B12" s="5">
        <v>0</v>
      </c>
      <c r="D12"/>
      <c r="E12"/>
      <c r="F12" s="5"/>
    </row>
    <row r="13" spans="1:6" x14ac:dyDescent="0.25">
      <c r="A13" s="4" t="s">
        <v>62</v>
      </c>
      <c r="B13" s="5">
        <v>0</v>
      </c>
      <c r="D13"/>
      <c r="E13"/>
      <c r="F13" s="5"/>
    </row>
    <row r="14" spans="1:6" x14ac:dyDescent="0.25">
      <c r="A14" s="4" t="s">
        <v>63</v>
      </c>
      <c r="B14" s="5">
        <v>0</v>
      </c>
      <c r="D14"/>
      <c r="E14"/>
      <c r="F14" s="5"/>
    </row>
    <row r="15" spans="1:6" x14ac:dyDescent="0.25">
      <c r="A15" s="4" t="s">
        <v>64</v>
      </c>
      <c r="B15" s="5">
        <v>0</v>
      </c>
      <c r="D15"/>
      <c r="E15"/>
      <c r="F15" s="5"/>
    </row>
    <row r="16" spans="1:6" x14ac:dyDescent="0.25">
      <c r="A16" s="4" t="s">
        <v>69</v>
      </c>
      <c r="B16" s="5">
        <v>0</v>
      </c>
      <c r="D16"/>
      <c r="E16"/>
      <c r="F16" s="5"/>
    </row>
    <row r="17" spans="1:6" x14ac:dyDescent="0.25">
      <c r="A17"/>
      <c r="B17"/>
      <c r="D17"/>
      <c r="E17"/>
      <c r="F17" s="5"/>
    </row>
    <row r="18" spans="1:6" x14ac:dyDescent="0.25">
      <c r="D18"/>
      <c r="E18"/>
      <c r="F18" s="5"/>
    </row>
    <row r="19" spans="1:6" x14ac:dyDescent="0.25">
      <c r="D19"/>
      <c r="E19"/>
      <c r="F19" s="5"/>
    </row>
    <row r="20" spans="1:6" x14ac:dyDescent="0.25">
      <c r="D20"/>
      <c r="E20"/>
      <c r="F20" s="5"/>
    </row>
    <row r="21" spans="1:6" x14ac:dyDescent="0.25">
      <c r="D21"/>
      <c r="E21"/>
      <c r="F21" s="5"/>
    </row>
    <row r="22" spans="1:6" x14ac:dyDescent="0.25">
      <c r="E22" s="6"/>
      <c r="F22" s="5"/>
    </row>
    <row r="23" spans="1:6" x14ac:dyDescent="0.25">
      <c r="E23" s="6"/>
      <c r="F23" s="5"/>
    </row>
    <row r="24" spans="1:6" x14ac:dyDescent="0.25">
      <c r="E24" s="6"/>
      <c r="F24" s="5"/>
    </row>
    <row r="25" spans="1:6" x14ac:dyDescent="0.25">
      <c r="E25" s="6"/>
      <c r="F25" s="5"/>
    </row>
    <row r="26" spans="1:6" x14ac:dyDescent="0.25">
      <c r="E26" s="6"/>
      <c r="F26" s="5"/>
    </row>
    <row r="27" spans="1:6" x14ac:dyDescent="0.25">
      <c r="E27" s="6"/>
      <c r="F27" s="5"/>
    </row>
    <row r="28" spans="1:6" x14ac:dyDescent="0.25">
      <c r="B28" s="6"/>
      <c r="C28" s="5"/>
    </row>
    <row r="29" spans="1:6" x14ac:dyDescent="0.25">
      <c r="B29" s="6"/>
      <c r="C29" s="5"/>
    </row>
    <row r="30" spans="1:6" x14ac:dyDescent="0.25">
      <c r="B30" s="6"/>
      <c r="C30" s="5"/>
    </row>
    <row r="31" spans="1:6" x14ac:dyDescent="0.25">
      <c r="B31" s="6"/>
      <c r="C31" s="5"/>
    </row>
    <row r="32" spans="1:6" x14ac:dyDescent="0.25">
      <c r="B32" s="6"/>
      <c r="C32" s="5"/>
    </row>
    <row r="33" spans="2:3" x14ac:dyDescent="0.25">
      <c r="B33" s="6"/>
      <c r="C33" s="5"/>
    </row>
    <row r="34" spans="2:3" x14ac:dyDescent="0.25">
      <c r="B34" s="6"/>
      <c r="C34" s="5"/>
    </row>
    <row r="35" spans="2:3" x14ac:dyDescent="0.25">
      <c r="B35" s="6"/>
      <c r="C35" s="5"/>
    </row>
    <row r="36" spans="2:3" x14ac:dyDescent="0.25">
      <c r="B36" s="6"/>
      <c r="C36" s="5"/>
    </row>
    <row r="37" spans="2:3" x14ac:dyDescent="0.25">
      <c r="B37" s="6"/>
      <c r="C37" s="5"/>
    </row>
    <row r="38" spans="2:3" x14ac:dyDescent="0.25">
      <c r="B38" s="4"/>
      <c r="C38" s="5"/>
    </row>
    <row r="39" spans="2:3" x14ac:dyDescent="0.25">
      <c r="B39" s="6"/>
      <c r="C39" s="5"/>
    </row>
    <row r="40" spans="2:3" x14ac:dyDescent="0.25">
      <c r="B40" s="4"/>
      <c r="C40" s="5"/>
    </row>
    <row r="41" spans="2:3" x14ac:dyDescent="0.25">
      <c r="B41" s="6"/>
      <c r="C41" s="5"/>
    </row>
    <row r="42" spans="2:3" x14ac:dyDescent="0.25">
      <c r="B42" s="6"/>
      <c r="C42" s="5"/>
    </row>
    <row r="43" spans="2:3" x14ac:dyDescent="0.25">
      <c r="B43" s="4"/>
      <c r="C43" s="5"/>
    </row>
    <row r="44" spans="2:3" x14ac:dyDescent="0.25">
      <c r="B44" s="6"/>
      <c r="C44" s="5"/>
    </row>
    <row r="45" spans="2:3" x14ac:dyDescent="0.25">
      <c r="B45" s="6"/>
      <c r="C45" s="5"/>
    </row>
    <row r="46" spans="2:3" x14ac:dyDescent="0.25">
      <c r="B46" s="4"/>
      <c r="C46" s="5"/>
    </row>
    <row r="47" spans="2:3" x14ac:dyDescent="0.25">
      <c r="B47" s="6"/>
      <c r="C47" s="5"/>
    </row>
    <row r="48" spans="2:3" x14ac:dyDescent="0.25">
      <c r="B48" s="6"/>
      <c r="C48" s="5"/>
    </row>
    <row r="49" spans="2:3" x14ac:dyDescent="0.25">
      <c r="B49" s="6"/>
      <c r="C49" s="5"/>
    </row>
    <row r="50" spans="2:3" x14ac:dyDescent="0.25">
      <c r="B50" s="6"/>
      <c r="C50" s="5"/>
    </row>
    <row r="51" spans="2:3" x14ac:dyDescent="0.25">
      <c r="B51" s="6"/>
      <c r="C51" s="5"/>
    </row>
    <row r="52" spans="2:3" x14ac:dyDescent="0.25">
      <c r="B52" s="6"/>
      <c r="C52" s="5"/>
    </row>
    <row r="53" spans="2:3" x14ac:dyDescent="0.25">
      <c r="B53" s="6"/>
      <c r="C53" s="5"/>
    </row>
    <row r="54" spans="2:3" x14ac:dyDescent="0.25">
      <c r="B54" s="6"/>
      <c r="C54" s="5"/>
    </row>
    <row r="55" spans="2:3" x14ac:dyDescent="0.25">
      <c r="B55" s="6"/>
      <c r="C55" s="5"/>
    </row>
    <row r="56" spans="2:3" x14ac:dyDescent="0.25">
      <c r="B56" s="6"/>
      <c r="C56" s="5"/>
    </row>
    <row r="57" spans="2:3" x14ac:dyDescent="0.25">
      <c r="B57" s="6"/>
      <c r="C57" s="5"/>
    </row>
    <row r="58" spans="2:3" x14ac:dyDescent="0.25">
      <c r="B58" s="6"/>
      <c r="C58" s="5"/>
    </row>
    <row r="59" spans="2:3" x14ac:dyDescent="0.25">
      <c r="B59" s="6"/>
      <c r="C59" s="5"/>
    </row>
    <row r="60" spans="2:3" x14ac:dyDescent="0.25">
      <c r="B60" s="6"/>
      <c r="C60" s="5"/>
    </row>
    <row r="61" spans="2:3" x14ac:dyDescent="0.25">
      <c r="B61" s="6"/>
      <c r="C61" s="5"/>
    </row>
    <row r="62" spans="2:3" x14ac:dyDescent="0.25">
      <c r="B62" s="6"/>
      <c r="C62" s="5"/>
    </row>
    <row r="63" spans="2:3" x14ac:dyDescent="0.25">
      <c r="B63" s="6"/>
      <c r="C63" s="5"/>
    </row>
    <row r="64" spans="2:3" x14ac:dyDescent="0.25">
      <c r="B64" s="6"/>
      <c r="C64" s="5"/>
    </row>
    <row r="65" spans="2:3" x14ac:dyDescent="0.25">
      <c r="B65" s="6"/>
      <c r="C65" s="5"/>
    </row>
    <row r="66" spans="2:3" x14ac:dyDescent="0.25">
      <c r="B66" s="6"/>
      <c r="C66" s="5"/>
    </row>
    <row r="67" spans="2:3" x14ac:dyDescent="0.25">
      <c r="B67" s="6"/>
      <c r="C67" s="5"/>
    </row>
    <row r="68" spans="2:3" x14ac:dyDescent="0.25">
      <c r="B68" s="6"/>
      <c r="C68" s="5"/>
    </row>
    <row r="69" spans="2:3" x14ac:dyDescent="0.25">
      <c r="B69" s="6"/>
      <c r="C69" s="5"/>
    </row>
    <row r="70" spans="2:3" x14ac:dyDescent="0.25">
      <c r="B70" s="6"/>
      <c r="C70" s="5"/>
    </row>
    <row r="71" spans="2:3" x14ac:dyDescent="0.25">
      <c r="B71" s="6"/>
      <c r="C71" s="5"/>
    </row>
    <row r="72" spans="2:3" x14ac:dyDescent="0.25">
      <c r="B72" s="4"/>
      <c r="C72" s="5"/>
    </row>
    <row r="73" spans="2:3" x14ac:dyDescent="0.25">
      <c r="B73" s="6"/>
      <c r="C73" s="5"/>
    </row>
    <row r="74" spans="2:3" x14ac:dyDescent="0.25">
      <c r="B74" s="6"/>
      <c r="C74" s="5"/>
    </row>
    <row r="75" spans="2:3" x14ac:dyDescent="0.25">
      <c r="B75" s="6"/>
      <c r="C75" s="5"/>
    </row>
    <row r="76" spans="2:3" x14ac:dyDescent="0.25">
      <c r="B76" s="6"/>
      <c r="C76" s="5"/>
    </row>
    <row r="77" spans="2:3" x14ac:dyDescent="0.25">
      <c r="B77" s="6"/>
      <c r="C77" s="5"/>
    </row>
    <row r="78" spans="2:3" x14ac:dyDescent="0.25">
      <c r="B78" s="6"/>
      <c r="C78" s="5"/>
    </row>
    <row r="79" spans="2:3" x14ac:dyDescent="0.25">
      <c r="B79" s="6"/>
      <c r="C79" s="5"/>
    </row>
    <row r="80" spans="2:3" x14ac:dyDescent="0.25">
      <c r="B80" s="6"/>
      <c r="C80" s="5"/>
    </row>
    <row r="81" spans="2:3" x14ac:dyDescent="0.25">
      <c r="B81" s="6"/>
      <c r="C81" s="5"/>
    </row>
    <row r="82" spans="2:3" x14ac:dyDescent="0.25">
      <c r="B82" s="6"/>
      <c r="C82" s="5"/>
    </row>
    <row r="83" spans="2:3" x14ac:dyDescent="0.25">
      <c r="B83" s="6"/>
      <c r="C83" s="5"/>
    </row>
    <row r="84" spans="2:3" x14ac:dyDescent="0.25">
      <c r="B84" s="6"/>
      <c r="C84" s="5"/>
    </row>
    <row r="85" spans="2:3" x14ac:dyDescent="0.25">
      <c r="B85" s="6"/>
      <c r="C85" s="5"/>
    </row>
    <row r="86" spans="2:3" x14ac:dyDescent="0.25">
      <c r="B86" s="6"/>
      <c r="C86" s="5"/>
    </row>
    <row r="87" spans="2:3" x14ac:dyDescent="0.25">
      <c r="B87" s="6"/>
      <c r="C87" s="5"/>
    </row>
    <row r="88" spans="2:3" x14ac:dyDescent="0.25">
      <c r="B88" s="6"/>
      <c r="C88" s="5"/>
    </row>
    <row r="89" spans="2:3" x14ac:dyDescent="0.25">
      <c r="B89" s="6"/>
      <c r="C89" s="5"/>
    </row>
    <row r="90" spans="2:3" x14ac:dyDescent="0.25">
      <c r="B90" s="6"/>
      <c r="C90" s="5"/>
    </row>
    <row r="91" spans="2:3" x14ac:dyDescent="0.25">
      <c r="B91" s="6"/>
      <c r="C91" s="5"/>
    </row>
    <row r="92" spans="2:3" x14ac:dyDescent="0.25">
      <c r="B92" s="6"/>
      <c r="C92" s="5"/>
    </row>
    <row r="93" spans="2:3" x14ac:dyDescent="0.25">
      <c r="B93" s="4"/>
      <c r="C93" s="5"/>
    </row>
    <row r="94" spans="2:3" x14ac:dyDescent="0.25">
      <c r="B94" s="6"/>
      <c r="C94" s="5"/>
    </row>
    <row r="95" spans="2:3" x14ac:dyDescent="0.25">
      <c r="B95" s="6"/>
      <c r="C95" s="5"/>
    </row>
    <row r="96" spans="2:3" x14ac:dyDescent="0.25">
      <c r="B96" s="6"/>
      <c r="C96" s="5"/>
    </row>
    <row r="97" spans="2:3" x14ac:dyDescent="0.25">
      <c r="B97" s="6"/>
      <c r="C97" s="5"/>
    </row>
    <row r="98" spans="2:3" x14ac:dyDescent="0.25">
      <c r="B98" s="4"/>
      <c r="C98" s="5"/>
    </row>
    <row r="99" spans="2:3" x14ac:dyDescent="0.25">
      <c r="B99" s="6"/>
      <c r="C99" s="5"/>
    </row>
    <row r="100" spans="2:3" x14ac:dyDescent="0.25">
      <c r="B100" s="6"/>
      <c r="C100" s="5"/>
    </row>
    <row r="101" spans="2:3" x14ac:dyDescent="0.25">
      <c r="B101" s="6"/>
      <c r="C101" s="5"/>
    </row>
    <row r="102" spans="2:3" x14ac:dyDescent="0.25">
      <c r="B102" s="6"/>
      <c r="C102" s="5"/>
    </row>
    <row r="103" spans="2:3" x14ac:dyDescent="0.25">
      <c r="B103" s="6"/>
      <c r="C103" s="5"/>
    </row>
    <row r="104" spans="2:3" x14ac:dyDescent="0.25">
      <c r="B104" s="6"/>
      <c r="C104" s="5"/>
    </row>
    <row r="105" spans="2:3" x14ac:dyDescent="0.25">
      <c r="B105" s="6"/>
      <c r="C105" s="5"/>
    </row>
    <row r="106" spans="2:3" x14ac:dyDescent="0.25">
      <c r="B106" s="6"/>
      <c r="C106" s="5"/>
    </row>
    <row r="107" spans="2:3" x14ac:dyDescent="0.25">
      <c r="B107" s="6"/>
      <c r="C107" s="5"/>
    </row>
    <row r="108" spans="2:3" x14ac:dyDescent="0.25">
      <c r="B108" s="6"/>
      <c r="C108" s="5"/>
    </row>
    <row r="109" spans="2:3" x14ac:dyDescent="0.25">
      <c r="B109" s="6"/>
      <c r="C109" s="5"/>
    </row>
    <row r="110" spans="2:3" x14ac:dyDescent="0.25">
      <c r="B110" s="6"/>
      <c r="C110" s="5"/>
    </row>
    <row r="111" spans="2:3" x14ac:dyDescent="0.25">
      <c r="B111" s="6"/>
      <c r="C111" s="5"/>
    </row>
    <row r="112" spans="2:3" x14ac:dyDescent="0.25">
      <c r="B112" s="6"/>
      <c r="C112" s="5"/>
    </row>
    <row r="113" spans="2:3" x14ac:dyDescent="0.25">
      <c r="B113" s="6"/>
      <c r="C113" s="5"/>
    </row>
    <row r="114" spans="2:3" x14ac:dyDescent="0.25">
      <c r="B114" s="6"/>
      <c r="C114" s="5"/>
    </row>
    <row r="115" spans="2:3" x14ac:dyDescent="0.25">
      <c r="B115" s="4"/>
      <c r="C115" s="5"/>
    </row>
    <row r="116" spans="2:3" x14ac:dyDescent="0.25">
      <c r="B116" s="6"/>
      <c r="C116" s="5"/>
    </row>
    <row r="117" spans="2:3" x14ac:dyDescent="0.25">
      <c r="B117" s="6"/>
      <c r="C117" s="5"/>
    </row>
    <row r="118" spans="2:3" x14ac:dyDescent="0.25">
      <c r="B118" s="6"/>
      <c r="C118" s="5"/>
    </row>
    <row r="119" spans="2:3" x14ac:dyDescent="0.25">
      <c r="B119" s="6"/>
      <c r="C119" s="5"/>
    </row>
    <row r="120" spans="2:3" x14ac:dyDescent="0.25">
      <c r="B120" s="6"/>
      <c r="C120" s="5"/>
    </row>
    <row r="121" spans="2:3" x14ac:dyDescent="0.25">
      <c r="B121" s="6"/>
      <c r="C121" s="5"/>
    </row>
    <row r="122" spans="2:3" x14ac:dyDescent="0.25">
      <c r="B122" s="4"/>
      <c r="C122" s="5"/>
    </row>
    <row r="123" spans="2:3" x14ac:dyDescent="0.25">
      <c r="B123" s="6"/>
      <c r="C123" s="5"/>
    </row>
    <row r="124" spans="2:3" x14ac:dyDescent="0.25">
      <c r="B124" s="4"/>
      <c r="C124" s="5"/>
    </row>
    <row r="125" spans="2:3" x14ac:dyDescent="0.25">
      <c r="B125" s="6"/>
      <c r="C125" s="5"/>
    </row>
    <row r="126" spans="2:3" x14ac:dyDescent="0.25">
      <c r="B126" s="6"/>
      <c r="C126" s="5"/>
    </row>
    <row r="127" spans="2:3" x14ac:dyDescent="0.25">
      <c r="B127" s="6"/>
      <c r="C127" s="5"/>
    </row>
    <row r="128" spans="2:3" x14ac:dyDescent="0.25">
      <c r="B128" s="4"/>
      <c r="C128" s="5"/>
    </row>
    <row r="129" spans="2:3" x14ac:dyDescent="0.25">
      <c r="B129" s="6"/>
      <c r="C129" s="5"/>
    </row>
    <row r="130" spans="2:3" x14ac:dyDescent="0.25">
      <c r="B130" s="6"/>
      <c r="C130" s="5"/>
    </row>
    <row r="131" spans="2:3" x14ac:dyDescent="0.25">
      <c r="B131" s="6"/>
      <c r="C131" s="5"/>
    </row>
    <row r="132" spans="2:3" x14ac:dyDescent="0.25">
      <c r="B132" s="4"/>
      <c r="C132" s="5"/>
    </row>
    <row r="133" spans="2:3" x14ac:dyDescent="0.25">
      <c r="B133" s="6"/>
      <c r="C133" s="5"/>
    </row>
    <row r="134" spans="2:3" x14ac:dyDescent="0.25">
      <c r="B134" s="6"/>
      <c r="C134" s="5"/>
    </row>
    <row r="135" spans="2:3" x14ac:dyDescent="0.25">
      <c r="B135" s="6"/>
      <c r="C135" s="5"/>
    </row>
    <row r="136" spans="2:3" x14ac:dyDescent="0.25">
      <c r="B136" s="6"/>
      <c r="C136" s="5"/>
    </row>
    <row r="137" spans="2:3" x14ac:dyDescent="0.25">
      <c r="B137" s="6"/>
      <c r="C137" s="5"/>
    </row>
    <row r="138" spans="2:3" x14ac:dyDescent="0.25">
      <c r="B138" s="6"/>
      <c r="C138" s="5"/>
    </row>
    <row r="139" spans="2:3" x14ac:dyDescent="0.25">
      <c r="B139" s="6"/>
      <c r="C139" s="5"/>
    </row>
    <row r="140" spans="2:3" x14ac:dyDescent="0.25">
      <c r="B140" s="6"/>
      <c r="C140" s="5"/>
    </row>
    <row r="141" spans="2:3" x14ac:dyDescent="0.25">
      <c r="B141" s="6"/>
      <c r="C141" s="5"/>
    </row>
    <row r="142" spans="2:3" x14ac:dyDescent="0.25">
      <c r="B142" s="6"/>
      <c r="C142" s="5"/>
    </row>
    <row r="143" spans="2:3" x14ac:dyDescent="0.25">
      <c r="B143" s="6"/>
      <c r="C143" s="5"/>
    </row>
    <row r="144" spans="2:3" x14ac:dyDescent="0.25">
      <c r="B144" s="6"/>
      <c r="C144" s="5"/>
    </row>
    <row r="145" spans="2:3" x14ac:dyDescent="0.25">
      <c r="B145" s="4"/>
      <c r="C145" s="5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</sheetData>
  <pageMargins left="0.511811024" right="0.511811024" top="0.78740157499999996" bottom="0.78740157499999996" header="0.31496062000000002" footer="0.3149606200000000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15"/>
  <sheetViews>
    <sheetView showGridLines="0" workbookViewId="0">
      <selection activeCell="L12" sqref="L12"/>
    </sheetView>
  </sheetViews>
  <sheetFormatPr defaultRowHeight="15" x14ac:dyDescent="0.25"/>
  <cols>
    <col min="1" max="1" width="39.5703125" style="8" bestFit="1" customWidth="1"/>
    <col min="2" max="2" width="23.5703125" style="8" bestFit="1" customWidth="1"/>
    <col min="3" max="3" width="26.5703125" style="8" bestFit="1" customWidth="1"/>
    <col min="4" max="10" width="9.140625" style="8"/>
    <col min="11" max="11" width="12" style="8" bestFit="1" customWidth="1"/>
    <col min="12" max="16384" width="9.140625" style="8"/>
  </cols>
  <sheetData>
    <row r="1" spans="1:4" x14ac:dyDescent="0.25">
      <c r="A1" s="2" t="s">
        <v>66</v>
      </c>
      <c r="B1" s="1"/>
      <c r="C1" s="1"/>
      <c r="D1" s="7">
        <f>SUM(Tabela15[Picos de Velocidade])</f>
        <v>201</v>
      </c>
    </row>
    <row r="2" spans="1:4" x14ac:dyDescent="0.25">
      <c r="A2" s="1" t="s">
        <v>8</v>
      </c>
      <c r="B2" s="1" t="s">
        <v>9</v>
      </c>
      <c r="C2" s="1" t="s">
        <v>65</v>
      </c>
    </row>
    <row r="3" spans="1:4" x14ac:dyDescent="0.25">
      <c r="A3" s="32" t="str">
        <f>Tabela2[[#This Row],[Motoristas]]</f>
        <v>ADEILSON DE OLIVEIRA ANGELINO</v>
      </c>
      <c r="B3" s="32" t="str">
        <f>Tabela2[[#This Row],[Filial]]</f>
        <v>ARAUCARIA</v>
      </c>
      <c r="C3" s="33">
        <f>IFERROR(VLOOKUP(Tabela15[[#This Row],[Motoristas]],Tabela2[],3,0),0)</f>
        <v>1</v>
      </c>
    </row>
    <row r="4" spans="1:4" x14ac:dyDescent="0.25">
      <c r="A4" s="32" t="str">
        <f>Tabela2[[#This Row],[Motoristas]]</f>
        <v>AIRTON ANTONIO GONÇALVES</v>
      </c>
      <c r="B4" s="32" t="str">
        <f>Tabela2[[#This Row],[Filial]]</f>
        <v>ARAUCARIA</v>
      </c>
      <c r="C4" s="33">
        <f>IFERROR(VLOOKUP(Tabela15[[#This Row],[Motoristas]],Tabela2[],3,0),0)</f>
        <v>1</v>
      </c>
    </row>
    <row r="5" spans="1:4" x14ac:dyDescent="0.25">
      <c r="A5" s="32" t="str">
        <f>Tabela2[[#This Row],[Motoristas]]</f>
        <v>CLAUDINEI FRANCISCO FERREIRA</v>
      </c>
      <c r="B5" s="32" t="str">
        <f>Tabela2[[#This Row],[Filial]]</f>
        <v>ARAUCARIA</v>
      </c>
      <c r="C5" s="33">
        <f>IFERROR(VLOOKUP(Tabela15[[#This Row],[Motoristas]],Tabela2[],3,0),0)</f>
        <v>37</v>
      </c>
    </row>
    <row r="6" spans="1:4" x14ac:dyDescent="0.25">
      <c r="A6" s="32" t="str">
        <f>Tabela2[[#This Row],[Motoristas]]</f>
        <v>CLAUDIO JOSE KREGENSKI</v>
      </c>
      <c r="B6" s="32" t="str">
        <f>Tabela2[[#This Row],[Filial]]</f>
        <v>ARAUCARIA</v>
      </c>
      <c r="C6" s="33">
        <f>IFERROR(VLOOKUP(Tabela15[[#This Row],[Motoristas]],Tabela2[],3,0),0)</f>
        <v>0</v>
      </c>
    </row>
    <row r="7" spans="1:4" x14ac:dyDescent="0.25">
      <c r="A7" s="32" t="str">
        <f>Tabela2[[#This Row],[Motoristas]]</f>
        <v>DANILO CASSIANO FERREIRA</v>
      </c>
      <c r="B7" s="32" t="str">
        <f>Tabela2[[#This Row],[Filial]]</f>
        <v>ARAUCARIA</v>
      </c>
      <c r="C7" s="33">
        <f>IFERROR(VLOOKUP(Tabela15[[#This Row],[Motoristas]],Tabela2[],3,0),0)</f>
        <v>12</v>
      </c>
    </row>
    <row r="8" spans="1:4" x14ac:dyDescent="0.25">
      <c r="A8" s="32" t="str">
        <f>Tabela2[[#This Row],[Motoristas]]</f>
        <v xml:space="preserve">DOUGLAS ENRIQUE DA SILVA LUIZ </v>
      </c>
      <c r="B8" s="32" t="str">
        <f>Tabela2[[#This Row],[Filial]]</f>
        <v>ARAUCARIA</v>
      </c>
      <c r="C8" s="33">
        <f>IFERROR(VLOOKUP(Tabela15[[#This Row],[Motoristas]],Tabela2[],3,0),0)</f>
        <v>0</v>
      </c>
    </row>
    <row r="9" spans="1:4" x14ac:dyDescent="0.25">
      <c r="A9" s="32" t="str">
        <f>Tabela2[[#This Row],[Motoristas]]</f>
        <v>EDILSON LEITE DE CAMARGO</v>
      </c>
      <c r="B9" s="32" t="str">
        <f>Tabela2[[#This Row],[Filial]]</f>
        <v>ARAUCARIA</v>
      </c>
      <c r="C9" s="33">
        <f>IFERROR(VLOOKUP(Tabela15[[#This Row],[Motoristas]],Tabela2[],3,0),0)</f>
        <v>1</v>
      </c>
    </row>
    <row r="10" spans="1:4" x14ac:dyDescent="0.25">
      <c r="A10" s="32" t="str">
        <f>Tabela2[[#This Row],[Motoristas]]</f>
        <v>EDINEI MARCOS CORDEIRO</v>
      </c>
      <c r="B10" s="32" t="str">
        <f>Tabela2[[#This Row],[Filial]]</f>
        <v>ARAUCARIA</v>
      </c>
      <c r="C10" s="33">
        <f>IFERROR(VLOOKUP(Tabela15[[#This Row],[Motoristas]],Tabela2[],3,0),0)</f>
        <v>1</v>
      </c>
    </row>
    <row r="11" spans="1:4" x14ac:dyDescent="0.25">
      <c r="A11" s="32" t="str">
        <f>Tabela2[[#This Row],[Motoristas]]</f>
        <v>EDISON VIEIRA</v>
      </c>
      <c r="B11" s="32" t="str">
        <f>Tabela2[[#This Row],[Filial]]</f>
        <v>ARAUCARIA</v>
      </c>
      <c r="C11" s="33">
        <f>IFERROR(VLOOKUP(Tabela15[[#This Row],[Motoristas]],Tabela2[],3,0),0)</f>
        <v>7</v>
      </c>
    </row>
    <row r="12" spans="1:4" x14ac:dyDescent="0.25">
      <c r="A12" s="32" t="str">
        <f>Tabela2[[#This Row],[Motoristas]]</f>
        <v>EDSON RECOFKA</v>
      </c>
      <c r="B12" s="32" t="str">
        <f>Tabela2[[#This Row],[Filial]]</f>
        <v>ARAUCARIA</v>
      </c>
      <c r="C12" s="33">
        <f>IFERROR(VLOOKUP(Tabela15[[#This Row],[Motoristas]],Tabela2[],3,0),0)</f>
        <v>1</v>
      </c>
    </row>
    <row r="13" spans="1:4" x14ac:dyDescent="0.25">
      <c r="A13" s="32" t="str">
        <f>Tabela2[[#This Row],[Motoristas]]</f>
        <v>ELUANE ANGELICA TONZAR DE LIMA</v>
      </c>
      <c r="B13" s="32" t="str">
        <f>Tabela2[[#This Row],[Filial]]</f>
        <v>ARAUCARIA</v>
      </c>
      <c r="C13" s="33">
        <f>IFERROR(VLOOKUP(Tabela15[[#This Row],[Motoristas]],Tabela2[],3,0),0)</f>
        <v>1</v>
      </c>
    </row>
    <row r="14" spans="1:4" x14ac:dyDescent="0.25">
      <c r="A14" s="32" t="str">
        <f>Tabela2[[#This Row],[Motoristas]]</f>
        <v>EMERSON APARECIDO PEREIRA DA SILVA</v>
      </c>
      <c r="B14" s="32" t="str">
        <f>Tabela2[[#This Row],[Filial]]</f>
        <v>ARAUCARIA</v>
      </c>
      <c r="C14" s="33">
        <f>IFERROR(VLOOKUP(Tabela15[[#This Row],[Motoristas]],Tabela2[],3,0),0)</f>
        <v>0</v>
      </c>
    </row>
    <row r="15" spans="1:4" x14ac:dyDescent="0.25">
      <c r="A15" s="32" t="str">
        <f>Tabela2[[#This Row],[Motoristas]]</f>
        <v>FABIANO CASTILHO CALEGARI</v>
      </c>
      <c r="B15" s="32" t="str">
        <f>Tabela2[[#This Row],[Filial]]</f>
        <v>ARAUCARIA</v>
      </c>
      <c r="C15" s="33">
        <f>IFERROR(VLOOKUP(Tabela15[[#This Row],[Motoristas]],Tabela2[],3,0),0)</f>
        <v>0</v>
      </c>
    </row>
    <row r="16" spans="1:4" x14ac:dyDescent="0.25">
      <c r="A16" s="32" t="str">
        <f>Tabela2[[#This Row],[Motoristas]]</f>
        <v>GEDIVALDO SOUZA LUZ ALVES</v>
      </c>
      <c r="B16" s="32" t="str">
        <f>Tabela2[[#This Row],[Filial]]</f>
        <v>ARAUCARIA</v>
      </c>
      <c r="C16" s="33">
        <f>IFERROR(VLOOKUP(Tabela15[[#This Row],[Motoristas]],Tabela2[],3,0),0)</f>
        <v>0</v>
      </c>
    </row>
    <row r="17" spans="1:3" x14ac:dyDescent="0.25">
      <c r="A17" s="32" t="str">
        <f>Tabela2[[#This Row],[Motoristas]]</f>
        <v>GILMAR LOPACINSKI</v>
      </c>
      <c r="B17" s="32" t="str">
        <f>Tabela2[[#This Row],[Filial]]</f>
        <v>ARAUCARIA</v>
      </c>
      <c r="C17" s="33">
        <f>IFERROR(VLOOKUP(Tabela15[[#This Row],[Motoristas]],Tabela2[],3,0),0)</f>
        <v>14</v>
      </c>
    </row>
    <row r="18" spans="1:3" x14ac:dyDescent="0.25">
      <c r="A18" s="32" t="str">
        <f>Tabela2[[#This Row],[Motoristas]]</f>
        <v>INACIO DOUTOR</v>
      </c>
      <c r="B18" s="32" t="str">
        <f>Tabela2[[#This Row],[Filial]]</f>
        <v>ARAUCARIA</v>
      </c>
      <c r="C18" s="33">
        <f>IFERROR(VLOOKUP(Tabela15[[#This Row],[Motoristas]],Tabela2[],3,0),0)</f>
        <v>0</v>
      </c>
    </row>
    <row r="19" spans="1:3" x14ac:dyDescent="0.25">
      <c r="A19" s="32" t="str">
        <f>Tabela2[[#This Row],[Motoristas]]</f>
        <v>JOAO PAULO LISNIOWSKI</v>
      </c>
      <c r="B19" s="32" t="str">
        <f>Tabela2[[#This Row],[Filial]]</f>
        <v>ARAUCARIA</v>
      </c>
      <c r="C19" s="33">
        <f>IFERROR(VLOOKUP(Tabela15[[#This Row],[Motoristas]],Tabela2[],3,0),0)</f>
        <v>0</v>
      </c>
    </row>
    <row r="20" spans="1:3" x14ac:dyDescent="0.25">
      <c r="A20" s="32" t="str">
        <f>Tabela2[[#This Row],[Motoristas]]</f>
        <v>JONAS GOGOLA DE ANDRADE</v>
      </c>
      <c r="B20" s="32" t="str">
        <f>Tabela2[[#This Row],[Filial]]</f>
        <v>ARAUCARIA</v>
      </c>
      <c r="C20" s="33">
        <f>IFERROR(VLOOKUP(Tabela15[[#This Row],[Motoristas]],Tabela2[],3,0),0)</f>
        <v>4</v>
      </c>
    </row>
    <row r="21" spans="1:3" x14ac:dyDescent="0.25">
      <c r="A21" s="32" t="str">
        <f>Tabela2[[#This Row],[Motoristas]]</f>
        <v>JOSIVAN DA SILVA OLIVEIRA</v>
      </c>
      <c r="B21" s="32" t="str">
        <f>Tabela2[[#This Row],[Filial]]</f>
        <v>ARAUCARIA</v>
      </c>
      <c r="C21" s="33">
        <f>IFERROR(VLOOKUP(Tabela15[[#This Row],[Motoristas]],Tabela2[],3,0),0)</f>
        <v>0</v>
      </c>
    </row>
    <row r="22" spans="1:3" x14ac:dyDescent="0.25">
      <c r="A22" s="32" t="str">
        <f>Tabela2[[#This Row],[Motoristas]]</f>
        <v>JOSUE LOPES DE SENE</v>
      </c>
      <c r="B22" s="32" t="str">
        <f>Tabela2[[#This Row],[Filial]]</f>
        <v>ARAUCARIA</v>
      </c>
      <c r="C22" s="33">
        <f>IFERROR(VLOOKUP(Tabela15[[#This Row],[Motoristas]],Tabela2[],3,0),0)</f>
        <v>3</v>
      </c>
    </row>
    <row r="23" spans="1:3" x14ac:dyDescent="0.25">
      <c r="A23" s="32" t="str">
        <f>Tabela2[[#This Row],[Motoristas]]</f>
        <v>JULIANA COQUES PAZ</v>
      </c>
      <c r="B23" s="32" t="str">
        <f>Tabela2[[#This Row],[Filial]]</f>
        <v>ARAUCARIA</v>
      </c>
      <c r="C23" s="33">
        <f>IFERROR(VLOOKUP(Tabela15[[#This Row],[Motoristas]],Tabela2[],3,0),0)</f>
        <v>0</v>
      </c>
    </row>
    <row r="24" spans="1:3" x14ac:dyDescent="0.25">
      <c r="A24" s="32" t="str">
        <f>Tabela2[[#This Row],[Motoristas]]</f>
        <v>LEANDRO ROBERTO DOS SANTOS</v>
      </c>
      <c r="B24" s="32" t="str">
        <f>Tabela2[[#This Row],[Filial]]</f>
        <v>ARAUCARIA</v>
      </c>
      <c r="C24" s="33">
        <f>IFERROR(VLOOKUP(Tabela15[[#This Row],[Motoristas]],Tabela2[],3,0),0)</f>
        <v>0</v>
      </c>
    </row>
    <row r="25" spans="1:3" x14ac:dyDescent="0.25">
      <c r="A25" s="32" t="str">
        <f>Tabela2[[#This Row],[Motoristas]]</f>
        <v>LEOMAR MOREIRA</v>
      </c>
      <c r="B25" s="32" t="str">
        <f>Tabela2[[#This Row],[Filial]]</f>
        <v>ARAUCARIA</v>
      </c>
      <c r="C25" s="33">
        <f>IFERROR(VLOOKUP(Tabela15[[#This Row],[Motoristas]],Tabela2[],3,0),0)</f>
        <v>0</v>
      </c>
    </row>
    <row r="26" spans="1:3" x14ac:dyDescent="0.25">
      <c r="A26" s="32" t="str">
        <f>Tabela2[[#This Row],[Motoristas]]</f>
        <v>LIDIOMAR DA SILVA DE SOUZA</v>
      </c>
      <c r="B26" s="32" t="str">
        <f>Tabela2[[#This Row],[Filial]]</f>
        <v>ARAUCARIA</v>
      </c>
      <c r="C26" s="33">
        <f>IFERROR(VLOOKUP(Tabela15[[#This Row],[Motoristas]],Tabela2[],3,0),0)</f>
        <v>7</v>
      </c>
    </row>
    <row r="27" spans="1:3" x14ac:dyDescent="0.25">
      <c r="A27" s="32" t="str">
        <f>Tabela2[[#This Row],[Motoristas]]</f>
        <v>MARCELO DA SILVA E SILVA</v>
      </c>
      <c r="B27" s="32" t="str">
        <f>Tabela2[[#This Row],[Filial]]</f>
        <v>ARAUCARIA</v>
      </c>
      <c r="C27" s="33">
        <f>IFERROR(VLOOKUP(Tabela15[[#This Row],[Motoristas]],Tabela2[],3,0),0)</f>
        <v>1</v>
      </c>
    </row>
    <row r="28" spans="1:3" x14ac:dyDescent="0.25">
      <c r="A28" s="32" t="str">
        <f>Tabela2[[#This Row],[Motoristas]]</f>
        <v>MARCIO LEMOS MACHADO</v>
      </c>
      <c r="B28" s="32" t="str">
        <f>Tabela2[[#This Row],[Filial]]</f>
        <v>ARAUCARIA</v>
      </c>
      <c r="C28" s="33">
        <f>IFERROR(VLOOKUP(Tabela15[[#This Row],[Motoristas]],Tabela2[],3,0),0)</f>
        <v>0</v>
      </c>
    </row>
    <row r="29" spans="1:3" x14ac:dyDescent="0.25">
      <c r="A29" s="32" t="str">
        <f>Tabela2[[#This Row],[Motoristas]]</f>
        <v>NELSON SOBOTHE</v>
      </c>
      <c r="B29" s="32" t="str">
        <f>Tabela2[[#This Row],[Filial]]</f>
        <v>ARAUCARIA</v>
      </c>
      <c r="C29" s="33">
        <f>IFERROR(VLOOKUP(Tabela15[[#This Row],[Motoristas]],Tabela2[],3,0),0)</f>
        <v>2</v>
      </c>
    </row>
    <row r="30" spans="1:3" x14ac:dyDescent="0.25">
      <c r="A30" s="32" t="str">
        <f>Tabela2[[#This Row],[Motoristas]]</f>
        <v>NILSON APARECIDO SAMPAIO</v>
      </c>
      <c r="B30" s="32" t="str">
        <f>Tabela2[[#This Row],[Filial]]</f>
        <v>ARAUCARIA</v>
      </c>
      <c r="C30" s="33">
        <f>IFERROR(VLOOKUP(Tabela15[[#This Row],[Motoristas]],Tabela2[],3,0),0)</f>
        <v>2</v>
      </c>
    </row>
    <row r="31" spans="1:3" x14ac:dyDescent="0.25">
      <c r="A31" s="32" t="str">
        <f>Tabela2[[#This Row],[Motoristas]]</f>
        <v>NILSON RODRIGUES DE SOUZA</v>
      </c>
      <c r="B31" s="32" t="str">
        <f>Tabela2[[#This Row],[Filial]]</f>
        <v>ARAUCARIA</v>
      </c>
      <c r="C31" s="33">
        <f>IFERROR(VLOOKUP(Tabela15[[#This Row],[Motoristas]],Tabela2[],3,0),0)</f>
        <v>1</v>
      </c>
    </row>
    <row r="32" spans="1:3" x14ac:dyDescent="0.25">
      <c r="A32" s="32" t="str">
        <f>Tabela2[[#This Row],[Motoristas]]</f>
        <v>NILTON DE JESUS RODRIGUES DE SOUZA</v>
      </c>
      <c r="B32" s="32" t="str">
        <f>Tabela2[[#This Row],[Filial]]</f>
        <v>ARAUCARIA</v>
      </c>
      <c r="C32" s="33">
        <f>IFERROR(VLOOKUP(Tabela15[[#This Row],[Motoristas]],Tabela2[],3,0),0)</f>
        <v>0</v>
      </c>
    </row>
    <row r="33" spans="1:3" x14ac:dyDescent="0.25">
      <c r="A33" s="32" t="str">
        <f>Tabela2[[#This Row],[Motoristas]]</f>
        <v>ODAIR GONÇALVES MIRANDA</v>
      </c>
      <c r="B33" s="32" t="str">
        <f>Tabela2[[#This Row],[Filial]]</f>
        <v>ARAUCARIA</v>
      </c>
      <c r="C33" s="33">
        <f>IFERROR(VLOOKUP(Tabela15[[#This Row],[Motoristas]],Tabela2[],3,0),0)</f>
        <v>0</v>
      </c>
    </row>
    <row r="34" spans="1:3" x14ac:dyDescent="0.25">
      <c r="A34" s="32" t="str">
        <f>Tabela2[[#This Row],[Motoristas]]</f>
        <v>PAULO DE MELO SILVA</v>
      </c>
      <c r="B34" s="32" t="str">
        <f>Tabela2[[#This Row],[Filial]]</f>
        <v>ARAUCARIA</v>
      </c>
      <c r="C34" s="33">
        <f>IFERROR(VLOOKUP(Tabela15[[#This Row],[Motoristas]],Tabela2[],3,0),0)</f>
        <v>0</v>
      </c>
    </row>
    <row r="35" spans="1:3" x14ac:dyDescent="0.25">
      <c r="A35" s="32" t="str">
        <f>Tabela2[[#This Row],[Motoristas]]</f>
        <v>PEDRO VANDERLEI BRASILINO</v>
      </c>
      <c r="B35" s="32" t="str">
        <f>Tabela2[[#This Row],[Filial]]</f>
        <v>ARAUCARIA</v>
      </c>
      <c r="C35" s="33">
        <f>IFERROR(VLOOKUP(Tabela15[[#This Row],[Motoristas]],Tabela2[],3,0),0)</f>
        <v>0</v>
      </c>
    </row>
    <row r="36" spans="1:3" x14ac:dyDescent="0.25">
      <c r="A36" s="32" t="str">
        <f>Tabela2[[#This Row],[Motoristas]]</f>
        <v>RICARDO SERGIO DA SILVA</v>
      </c>
      <c r="B36" s="32" t="str">
        <f>Tabela2[[#This Row],[Filial]]</f>
        <v>ARAUCARIA</v>
      </c>
      <c r="C36" s="33">
        <f>IFERROR(VLOOKUP(Tabela15[[#This Row],[Motoristas]],Tabela2[],3,0),0)</f>
        <v>2</v>
      </c>
    </row>
    <row r="37" spans="1:3" x14ac:dyDescent="0.25">
      <c r="A37" s="32" t="str">
        <f>Tabela2[[#This Row],[Motoristas]]</f>
        <v>RODRIGO DE SOUZA MACHADO</v>
      </c>
      <c r="B37" s="32" t="str">
        <f>Tabela2[[#This Row],[Filial]]</f>
        <v>ARAUCARIA</v>
      </c>
      <c r="C37" s="33">
        <f>IFERROR(VLOOKUP(Tabela15[[#This Row],[Motoristas]],Tabela2[],3,0),0)</f>
        <v>1</v>
      </c>
    </row>
    <row r="38" spans="1:3" x14ac:dyDescent="0.25">
      <c r="A38" s="32" t="str">
        <f>Tabela2[[#This Row],[Motoristas]]</f>
        <v>VALDECI CARVALHO DA SILVA JUNIOR</v>
      </c>
      <c r="B38" s="32" t="str">
        <f>Tabela2[[#This Row],[Filial]]</f>
        <v>ARAUCARIA</v>
      </c>
      <c r="C38" s="33">
        <f>IFERROR(VLOOKUP(Tabela15[[#This Row],[Motoristas]],Tabela2[],3,0),0)</f>
        <v>0</v>
      </c>
    </row>
    <row r="39" spans="1:3" x14ac:dyDescent="0.25">
      <c r="A39" s="32" t="str">
        <f>Tabela2[[#This Row],[Motoristas]]</f>
        <v>VALDECI FERREIRA DA SILVA JUNIOR</v>
      </c>
      <c r="B39" s="32" t="str">
        <f>Tabela2[[#This Row],[Filial]]</f>
        <v>ARAUCARIA</v>
      </c>
      <c r="C39" s="33">
        <f>IFERROR(VLOOKUP(Tabela15[[#This Row],[Motoristas]],Tabela2[],3,0),0)</f>
        <v>0</v>
      </c>
    </row>
    <row r="40" spans="1:3" x14ac:dyDescent="0.25">
      <c r="A40" s="32" t="str">
        <f>Tabela2[[#This Row],[Motoristas]]</f>
        <v>WANDERLEY LOPES DA SILVA</v>
      </c>
      <c r="B40" s="32" t="str">
        <f>Tabela2[[#This Row],[Filial]]</f>
        <v>ARAUCARIA</v>
      </c>
      <c r="C40" s="33">
        <f>IFERROR(VLOOKUP(Tabela15[[#This Row],[Motoristas]],Tabela2[],3,0),0)</f>
        <v>0</v>
      </c>
    </row>
    <row r="41" spans="1:3" x14ac:dyDescent="0.25">
      <c r="A41" s="32" t="str">
        <f>Tabela2[[#This Row],[Motoristas]]</f>
        <v>WELLINGTON GABRIEL SANTOS ROBERTO</v>
      </c>
      <c r="B41" s="32" t="str">
        <f>Tabela2[[#This Row],[Filial]]</f>
        <v>ARAUCARIA</v>
      </c>
      <c r="C41" s="33">
        <f>IFERROR(VLOOKUP(Tabela15[[#This Row],[Motoristas]],Tabela2[],3,0),0)</f>
        <v>0</v>
      </c>
    </row>
    <row r="42" spans="1:3" x14ac:dyDescent="0.25">
      <c r="A42" s="34" t="str">
        <f>'Campo Grande'!A3</f>
        <v>FELIPE TELES DA CRUZ</v>
      </c>
      <c r="B42" s="34" t="str">
        <f>'Campo Grande'!B3</f>
        <v>CAMPO GRANDE</v>
      </c>
      <c r="C42" s="33">
        <f>IFERROR(VLOOKUP(Tabela15[[#This Row],[Motoristas]],Tabela4[],3,0),0)</f>
        <v>0</v>
      </c>
    </row>
    <row r="43" spans="1:3" x14ac:dyDescent="0.25">
      <c r="A43" s="34" t="str">
        <f>'Campo Grande'!A4</f>
        <v>RENATO RIEFF MARIN</v>
      </c>
      <c r="B43" s="34" t="str">
        <f>'Campo Grande'!B4</f>
        <v>CAMPO GRANDE</v>
      </c>
      <c r="C43" s="33">
        <f>IFERROR(VLOOKUP(Tabela15[[#This Row],[Motoristas]],Tabela4[],3,0),0)</f>
        <v>0</v>
      </c>
    </row>
    <row r="44" spans="1:3" x14ac:dyDescent="0.25">
      <c r="A44" s="34" t="str">
        <f>Tabela5[Motoristas]</f>
        <v>ELICAR JUSTINO</v>
      </c>
      <c r="B44" s="36" t="str">
        <f>Tabela5[Filial]</f>
        <v>CHAPECO</v>
      </c>
      <c r="C44" s="33">
        <f>Tabela5[Picos de Velocidade]</f>
        <v>0</v>
      </c>
    </row>
    <row r="45" spans="1:3" x14ac:dyDescent="0.25">
      <c r="A45" s="34" t="str">
        <f>Cianorte!A3</f>
        <v>ANTONIO CARLOS BRAMBILA</v>
      </c>
      <c r="B45" s="34" t="str">
        <f>Cianorte!B3</f>
        <v>CIANORTE</v>
      </c>
      <c r="C45" s="33">
        <f>IFERROR(VLOOKUP(Tabela15[[#This Row],[Motoristas]],Tabela6[],3,0),0)</f>
        <v>0</v>
      </c>
    </row>
    <row r="46" spans="1:3" x14ac:dyDescent="0.25">
      <c r="A46" s="34" t="str">
        <f>Cianorte!A4</f>
        <v>APARECIDO DIAMARAES</v>
      </c>
      <c r="B46" s="34" t="str">
        <f>Cianorte!B4</f>
        <v>CIANORTE</v>
      </c>
      <c r="C46" s="33">
        <f>IFERROR(VLOOKUP(Tabela15[[#This Row],[Motoristas]],Tabela6[],3,0),0)</f>
        <v>0</v>
      </c>
    </row>
    <row r="47" spans="1:3" x14ac:dyDescent="0.25">
      <c r="A47" s="34" t="str">
        <f>Cianorte!A5</f>
        <v>APARECIDO JOEL SANT ANA</v>
      </c>
      <c r="B47" s="34" t="str">
        <f>Cianorte!B5</f>
        <v>CIANORTE</v>
      </c>
      <c r="C47" s="33">
        <f>IFERROR(VLOOKUP(Tabela15[[#This Row],[Motoristas]],Tabela6[],3,0),0)</f>
        <v>0</v>
      </c>
    </row>
    <row r="48" spans="1:3" x14ac:dyDescent="0.25">
      <c r="A48" s="34" t="str">
        <f>Cianorte!A6</f>
        <v xml:space="preserve">APARECIDO RODRIGUES DA SILVA </v>
      </c>
      <c r="B48" s="34" t="str">
        <f>Cianorte!B6</f>
        <v>CIANORTE</v>
      </c>
      <c r="C48" s="33">
        <f>IFERROR(VLOOKUP(Tabela15[[#This Row],[Motoristas]],Tabela6[],3,0),0)</f>
        <v>0</v>
      </c>
    </row>
    <row r="49" spans="1:3" x14ac:dyDescent="0.25">
      <c r="A49" s="34" t="str">
        <f>Cianorte!A7</f>
        <v>CARLOS ELIER PIEROLI</v>
      </c>
      <c r="B49" s="34" t="str">
        <f>Cianorte!B7</f>
        <v>CIANORTE</v>
      </c>
      <c r="C49" s="33">
        <f>IFERROR(VLOOKUP(Tabela15[[#This Row],[Motoristas]],Tabela6[],3,0),0)</f>
        <v>0</v>
      </c>
    </row>
    <row r="50" spans="1:3" x14ac:dyDescent="0.25">
      <c r="A50" s="34" t="str">
        <f>Cianorte!A8</f>
        <v>DENNER DOS SANTOS</v>
      </c>
      <c r="B50" s="34" t="str">
        <f>Cianorte!B8</f>
        <v>CIANORTE</v>
      </c>
      <c r="C50" s="33">
        <f>IFERROR(VLOOKUP(Tabela15[[#This Row],[Motoristas]],Tabela6[],3,0),0)</f>
        <v>2</v>
      </c>
    </row>
    <row r="51" spans="1:3" x14ac:dyDescent="0.25">
      <c r="A51" s="34" t="str">
        <f>Cianorte!A9</f>
        <v>DIEGO FRANCISCO DE SOUZA</v>
      </c>
      <c r="B51" s="34" t="str">
        <f>Cianorte!B9</f>
        <v>CIANORTE</v>
      </c>
      <c r="C51" s="33">
        <f>IFERROR(VLOOKUP(Tabela15[[#This Row],[Motoristas]],Tabela6[],3,0),0)</f>
        <v>0</v>
      </c>
    </row>
    <row r="52" spans="1:3" x14ac:dyDescent="0.25">
      <c r="A52" s="34" t="str">
        <f>Cianorte!A10</f>
        <v>ELISANGELA APARECIDA GOMES COELHO</v>
      </c>
      <c r="B52" s="34" t="str">
        <f>Cianorte!B10</f>
        <v>CIANORTE</v>
      </c>
      <c r="C52" s="33">
        <f>IFERROR(VLOOKUP(Tabela15[[#This Row],[Motoristas]],Tabela6[],3,0),0)</f>
        <v>4</v>
      </c>
    </row>
    <row r="53" spans="1:3" x14ac:dyDescent="0.25">
      <c r="A53" s="34" t="str">
        <f>Cianorte!A11</f>
        <v>FELIPE COMAR DIAS</v>
      </c>
      <c r="B53" s="34" t="str">
        <f>Cianorte!B11</f>
        <v>CIANORTE</v>
      </c>
      <c r="C53" s="33">
        <f>IFERROR(VLOOKUP(Tabela15[[#This Row],[Motoristas]],Tabela6[],3,0),0)</f>
        <v>1</v>
      </c>
    </row>
    <row r="54" spans="1:3" x14ac:dyDescent="0.25">
      <c r="A54" s="34" t="str">
        <f>Cianorte!A12</f>
        <v>GILBERTO BEZERRA PINTO</v>
      </c>
      <c r="B54" s="34" t="str">
        <f>Cianorte!B12</f>
        <v>CIANORTE</v>
      </c>
      <c r="C54" s="33">
        <f>IFERROR(VLOOKUP(Tabela15[[#This Row],[Motoristas]],Tabela6[],3,0),0)</f>
        <v>1</v>
      </c>
    </row>
    <row r="55" spans="1:3" x14ac:dyDescent="0.25">
      <c r="A55" s="34" t="str">
        <f>Cianorte!A13</f>
        <v xml:space="preserve">JHONATAN ALVES DOS SANTOS </v>
      </c>
      <c r="B55" s="34" t="str">
        <f>Cianorte!B13</f>
        <v>CIANORTE</v>
      </c>
      <c r="C55" s="33">
        <f>IFERROR(VLOOKUP(Tabela15[[#This Row],[Motoristas]],Tabela6[],3,0),0)</f>
        <v>0</v>
      </c>
    </row>
    <row r="56" spans="1:3" x14ac:dyDescent="0.25">
      <c r="A56" s="34" t="str">
        <f>Cianorte!A14</f>
        <v>JOSE CARLOS RODRIGUES</v>
      </c>
      <c r="B56" s="34" t="str">
        <f>Cianorte!B14</f>
        <v>CIANORTE</v>
      </c>
      <c r="C56" s="33">
        <f>IFERROR(VLOOKUP(Tabela15[[#This Row],[Motoristas]],Tabela6[],3,0),0)</f>
        <v>1</v>
      </c>
    </row>
    <row r="57" spans="1:3" x14ac:dyDescent="0.25">
      <c r="A57" s="34" t="str">
        <f>Cianorte!A15</f>
        <v>JOSE DOS SANTOS</v>
      </c>
      <c r="B57" s="34" t="str">
        <f>Cianorte!B15</f>
        <v>CIANORTE</v>
      </c>
      <c r="C57" s="33">
        <f>IFERROR(VLOOKUP(Tabela15[[#This Row],[Motoristas]],Tabela6[],3,0),0)</f>
        <v>0</v>
      </c>
    </row>
    <row r="58" spans="1:3" x14ac:dyDescent="0.25">
      <c r="A58" s="34" t="str">
        <f>Cianorte!A16</f>
        <v>LINCOLN FRANCEL PIMENTA</v>
      </c>
      <c r="B58" s="34" t="str">
        <f>Cianorte!B16</f>
        <v>CIANORTE</v>
      </c>
      <c r="C58" s="33">
        <f>IFERROR(VLOOKUP(Tabela15[[#This Row],[Motoristas]],Tabela6[],3,0),0)</f>
        <v>0</v>
      </c>
    </row>
    <row r="59" spans="1:3" x14ac:dyDescent="0.25">
      <c r="A59" s="34" t="str">
        <f>Cianorte!A17</f>
        <v>MAURILIO FERREIRA DAS NEVES</v>
      </c>
      <c r="B59" s="34" t="str">
        <f>Cianorte!B17</f>
        <v>CIANORTE</v>
      </c>
      <c r="C59" s="33">
        <f>IFERROR(VLOOKUP(Tabela15[[#This Row],[Motoristas]],Tabela6[],3,0),0)</f>
        <v>3</v>
      </c>
    </row>
    <row r="60" spans="1:3" x14ac:dyDescent="0.25">
      <c r="A60" s="34" t="str">
        <f>Cianorte!A18</f>
        <v>NIVALMIR ANTUNES</v>
      </c>
      <c r="B60" s="34" t="str">
        <f>Cianorte!B18</f>
        <v>CIANORTE</v>
      </c>
      <c r="C60" s="33">
        <f>IFERROR(VLOOKUP(Tabela15[[#This Row],[Motoristas]],Tabela6[],3,0),0)</f>
        <v>0</v>
      </c>
    </row>
    <row r="61" spans="1:3" x14ac:dyDescent="0.25">
      <c r="A61" s="34" t="s">
        <v>79</v>
      </c>
      <c r="B61" s="34" t="str">
        <f>Cianorte!B19</f>
        <v>CIANORTE</v>
      </c>
      <c r="C61" s="33">
        <f>IFERROR(VLOOKUP(Tabela15[[#This Row],[Motoristas]],Tabela6[],3,0),0)</f>
        <v>0</v>
      </c>
    </row>
    <row r="62" spans="1:3" x14ac:dyDescent="0.25">
      <c r="A62" s="34" t="str">
        <f>Cianorte!A20</f>
        <v xml:space="preserve">RODOLFO MOZELLI SPAGOLLA </v>
      </c>
      <c r="B62" s="34" t="str">
        <f>Cianorte!B20</f>
        <v>CIANORTE</v>
      </c>
      <c r="C62" s="33">
        <f>IFERROR(VLOOKUP(Tabela15[[#This Row],[Motoristas]],Tabela6[],3,0),0)</f>
        <v>3</v>
      </c>
    </row>
    <row r="63" spans="1:3" x14ac:dyDescent="0.25">
      <c r="A63" s="34" t="str">
        <f>Cianorte!A21</f>
        <v>RODRIGO LORENTINO</v>
      </c>
      <c r="B63" s="34" t="str">
        <f>Cianorte!B21</f>
        <v>CIANORTE</v>
      </c>
      <c r="C63" s="33">
        <f>IFERROR(VLOOKUP(Tabela15[[#This Row],[Motoristas]],Tabela6[],3,0),0)</f>
        <v>0</v>
      </c>
    </row>
    <row r="64" spans="1:3" x14ac:dyDescent="0.25">
      <c r="A64" s="34" t="str">
        <f>Cianorte!A22</f>
        <v>SERGIO APARECIDO GIRALDELLO</v>
      </c>
      <c r="B64" s="34" t="str">
        <f>Cianorte!B22</f>
        <v>CIANORTE</v>
      </c>
      <c r="C64" s="33">
        <f>IFERROR(VLOOKUP(Tabela15[[#This Row],[Motoristas]],Tabela6[],3,0),0)</f>
        <v>0</v>
      </c>
    </row>
    <row r="65" spans="1:3" x14ac:dyDescent="0.25">
      <c r="A65" s="34" t="str">
        <f>Cianorte!A23</f>
        <v>VALBER JUNIOR COSTA</v>
      </c>
      <c r="B65" s="34" t="str">
        <f>Cianorte!B23</f>
        <v>CIANORTE</v>
      </c>
      <c r="C65" s="33">
        <f>IFERROR(VLOOKUP(Tabela15[[#This Row],[Motoristas]],Tabela6[],3,0),0)</f>
        <v>1</v>
      </c>
    </row>
    <row r="66" spans="1:3" x14ac:dyDescent="0.25">
      <c r="A66" s="34" t="str">
        <f>Cianorte!A24</f>
        <v>VILSON TOMACHAK</v>
      </c>
      <c r="B66" s="34" t="str">
        <f>Cianorte!B24</f>
        <v>CIANORTE</v>
      </c>
      <c r="C66" s="33">
        <f>IFERROR(VLOOKUP(Tabela15[[#This Row],[Motoristas]],Tabela6[],3,0),0)</f>
        <v>5</v>
      </c>
    </row>
    <row r="67" spans="1:3" x14ac:dyDescent="0.25">
      <c r="A67" s="34" t="str">
        <f>Cianorte!A25</f>
        <v>WESLEI RIBEIRO JACOMINI</v>
      </c>
      <c r="B67" s="34" t="str">
        <f>Cianorte!B25</f>
        <v>CIANORTE</v>
      </c>
      <c r="C67" s="33">
        <f>IFERROR(VLOOKUP(Tabela15[[#This Row],[Motoristas]],Tabela6[],3,0),0)</f>
        <v>1</v>
      </c>
    </row>
    <row r="68" spans="1:3" x14ac:dyDescent="0.25">
      <c r="A68" s="34" t="str">
        <f>Guararapes!A3</f>
        <v>ALEX DOUGLAS LOPES ALONSO</v>
      </c>
      <c r="B68" s="34" t="str">
        <f>Guararapes!B3</f>
        <v>GUARARAPES</v>
      </c>
      <c r="C68" s="33">
        <f>IFERROR(VLOOKUP(Tabela15[[#This Row],[Motoristas]],Tabela7[],3,0),0)</f>
        <v>0</v>
      </c>
    </row>
    <row r="69" spans="1:3" x14ac:dyDescent="0.25">
      <c r="A69" s="34" t="str">
        <f>Guararapes!A4</f>
        <v>ANDERSON DE SOUZA SOARES GOMES</v>
      </c>
      <c r="B69" s="34" t="str">
        <f>Guararapes!B4</f>
        <v>GUARARAPES</v>
      </c>
      <c r="C69" s="33">
        <f>IFERROR(VLOOKUP(Tabela15[[#This Row],[Motoristas]],Tabela7[],3,0),0)</f>
        <v>1</v>
      </c>
    </row>
    <row r="70" spans="1:3" x14ac:dyDescent="0.25">
      <c r="A70" s="34" t="str">
        <f>Guararapes!A5</f>
        <v>ANDERSON NUBIATO RODRIGUES DA SILVA</v>
      </c>
      <c r="B70" s="34" t="str">
        <f>Guararapes!B5</f>
        <v>GUARARAPES</v>
      </c>
      <c r="C70" s="33">
        <f>IFERROR(VLOOKUP(Tabela15[[#This Row],[Motoristas]],Tabela7[],3,0),0)</f>
        <v>0</v>
      </c>
    </row>
    <row r="71" spans="1:3" x14ac:dyDescent="0.25">
      <c r="A71" s="34" t="str">
        <f>Guararapes!A6</f>
        <v>ANGELA MARIA GONÇALVES</v>
      </c>
      <c r="B71" s="34" t="str">
        <f>Guararapes!B6</f>
        <v>GUARARAPES</v>
      </c>
      <c r="C71" s="33">
        <f>IFERROR(VLOOKUP(Tabela15[[#This Row],[Motoristas]],Tabela7[],3,0),0)</f>
        <v>2</v>
      </c>
    </row>
    <row r="72" spans="1:3" x14ac:dyDescent="0.25">
      <c r="A72" s="34" t="str">
        <f>Guararapes!A7</f>
        <v>ANTONIO ROBERTO BELTRAMINI</v>
      </c>
      <c r="B72" s="34" t="str">
        <f>Guararapes!B7</f>
        <v>GUARARAPES</v>
      </c>
      <c r="C72" s="33">
        <f>IFERROR(VLOOKUP(Tabela15[[#This Row],[Motoristas]],Tabela7[],3,0),0)</f>
        <v>0</v>
      </c>
    </row>
    <row r="73" spans="1:3" x14ac:dyDescent="0.25">
      <c r="A73" s="34" t="str">
        <f>Guararapes!A8</f>
        <v>CELSO RICARDO RODRIGUES</v>
      </c>
      <c r="B73" s="34" t="str">
        <f>Guararapes!B8</f>
        <v>GUARARAPES</v>
      </c>
      <c r="C73" s="33">
        <f>IFERROR(VLOOKUP(Tabela15[[#This Row],[Motoristas]],Tabela7[],3,0),0)</f>
        <v>1</v>
      </c>
    </row>
    <row r="74" spans="1:3" x14ac:dyDescent="0.25">
      <c r="A74" s="34" t="str">
        <f>Guararapes!A9</f>
        <v>CRISTIAN FABIANO LUIZ DA SILVA</v>
      </c>
      <c r="B74" s="34" t="str">
        <f>Guararapes!B9</f>
        <v>GUARARAPES</v>
      </c>
      <c r="C74" s="33">
        <f>IFERROR(VLOOKUP(Tabela15[[#This Row],[Motoristas]],Tabela7[],3,0),0)</f>
        <v>0</v>
      </c>
    </row>
    <row r="75" spans="1:3" x14ac:dyDescent="0.25">
      <c r="A75" s="34" t="str">
        <f>Guararapes!A10</f>
        <v>EDE WILSON RODRIGUES</v>
      </c>
      <c r="B75" s="34" t="str">
        <f>Guararapes!B10</f>
        <v>GUARARAPES</v>
      </c>
      <c r="C75" s="33">
        <f>IFERROR(VLOOKUP(Tabela15[[#This Row],[Motoristas]],Tabela7[],3,0),0)</f>
        <v>0</v>
      </c>
    </row>
    <row r="76" spans="1:3" x14ac:dyDescent="0.25">
      <c r="A76" s="34" t="str">
        <f>Guararapes!A11</f>
        <v>EDVALDO GONCALVES</v>
      </c>
      <c r="B76" s="34" t="str">
        <f>Guararapes!B11</f>
        <v>GUARARAPES</v>
      </c>
      <c r="C76" s="33">
        <f>IFERROR(VLOOKUP(Tabela15[[#This Row],[Motoristas]],Tabela7[],3,0),0)</f>
        <v>0</v>
      </c>
    </row>
    <row r="77" spans="1:3" x14ac:dyDescent="0.25">
      <c r="A77" s="34" t="str">
        <f>Guararapes!A12</f>
        <v>FABIO CARLOS ARAUJO DO CARMO</v>
      </c>
      <c r="B77" s="34" t="str">
        <f>Guararapes!B12</f>
        <v>GUARARAPES</v>
      </c>
      <c r="C77" s="33">
        <f>IFERROR(VLOOKUP(Tabela15[[#This Row],[Motoristas]],Tabela7[],3,0),0)</f>
        <v>6</v>
      </c>
    </row>
    <row r="78" spans="1:3" x14ac:dyDescent="0.25">
      <c r="A78" s="34" t="str">
        <f>Guararapes!A13</f>
        <v>FERNANDO EMIDIO DE SOUZA LIMA</v>
      </c>
      <c r="B78" s="34" t="str">
        <f>Guararapes!B13</f>
        <v>GUARARAPES</v>
      </c>
      <c r="C78" s="33">
        <f>IFERROR(VLOOKUP(Tabela15[[#This Row],[Motoristas]],Tabela7[],3,0),0)</f>
        <v>0</v>
      </c>
    </row>
    <row r="79" spans="1:3" x14ac:dyDescent="0.25">
      <c r="A79" s="34" t="str">
        <f>Guararapes!A14</f>
        <v>GEDIELCIO CARVALHO COSTA</v>
      </c>
      <c r="B79" s="34" t="str">
        <f>Guararapes!B14</f>
        <v>GUARARAPES</v>
      </c>
      <c r="C79" s="33">
        <f>IFERROR(VLOOKUP(Tabela15[[#This Row],[Motoristas]],Tabela7[],3,0),0)</f>
        <v>9</v>
      </c>
    </row>
    <row r="80" spans="1:3" x14ac:dyDescent="0.25">
      <c r="A80" s="34" t="str">
        <f>Guararapes!A15</f>
        <v>GILMAR DA SILVA</v>
      </c>
      <c r="B80" s="34" t="str">
        <f>Guararapes!B15</f>
        <v>GUARARAPES</v>
      </c>
      <c r="C80" s="33">
        <f>IFERROR(VLOOKUP(Tabela15[[#This Row],[Motoristas]],Tabela7[],3,0),0)</f>
        <v>0</v>
      </c>
    </row>
    <row r="81" spans="1:3" x14ac:dyDescent="0.25">
      <c r="A81" s="34" t="str">
        <f>Guararapes!A16</f>
        <v>GILMAR FERREIRA NEVES</v>
      </c>
      <c r="B81" s="34" t="str">
        <f>Guararapes!B16</f>
        <v>GUARARAPES</v>
      </c>
      <c r="C81" s="33">
        <f>IFERROR(VLOOKUP(Tabela15[[#This Row],[Motoristas]],Tabela7[],3,0),0)</f>
        <v>20</v>
      </c>
    </row>
    <row r="82" spans="1:3" x14ac:dyDescent="0.25">
      <c r="A82" s="34" t="str">
        <f>Guararapes!A17</f>
        <v>GUSTAVO ROBERTO PEREIRA</v>
      </c>
      <c r="B82" s="34" t="str">
        <f>Guararapes!B17</f>
        <v>GUARARAPES</v>
      </c>
      <c r="C82" s="33">
        <f>IFERROR(VLOOKUP(Tabela15[[#This Row],[Motoristas]],Tabela7[],3,0),0)</f>
        <v>1</v>
      </c>
    </row>
    <row r="83" spans="1:3" x14ac:dyDescent="0.25">
      <c r="A83" s="34" t="str">
        <f>Guararapes!A18</f>
        <v>JHONE GIMENES SANTOS</v>
      </c>
      <c r="B83" s="34" t="str">
        <f>Guararapes!B18</f>
        <v>GUARARAPES</v>
      </c>
      <c r="C83" s="33">
        <f>IFERROR(VLOOKUP(Tabela15[[#This Row],[Motoristas]],Tabela7[],3,0),0)</f>
        <v>0</v>
      </c>
    </row>
    <row r="84" spans="1:3" x14ac:dyDescent="0.25">
      <c r="A84" s="34" t="str">
        <f>Guararapes!A19</f>
        <v>JOAO VITOR DOS SANTOS</v>
      </c>
      <c r="B84" s="34" t="str">
        <f>Guararapes!B19</f>
        <v>GUARARAPES</v>
      </c>
      <c r="C84" s="33">
        <f>IFERROR(VLOOKUP(Tabela15[[#This Row],[Motoristas]],Tabela7[],3,0),0)</f>
        <v>0</v>
      </c>
    </row>
    <row r="85" spans="1:3" x14ac:dyDescent="0.25">
      <c r="A85" s="34" t="s">
        <v>118</v>
      </c>
      <c r="B85" s="34" t="str">
        <f>Guararapes!B20</f>
        <v>GUARARAPES</v>
      </c>
      <c r="C85" s="33">
        <f>IFERROR(VLOOKUP(Tabela15[[#This Row],[Motoristas]],Tabela7[],3,0),0)</f>
        <v>1</v>
      </c>
    </row>
    <row r="86" spans="1:3" x14ac:dyDescent="0.25">
      <c r="A86" s="34" t="s">
        <v>123</v>
      </c>
      <c r="B86" s="34" t="str">
        <f>Guararapes!B21</f>
        <v>GUARARAPES</v>
      </c>
      <c r="C86" s="33">
        <f>IFERROR(VLOOKUP(Tabela15[[#This Row],[Motoristas]],Tabela7[],3,0),0)</f>
        <v>1</v>
      </c>
    </row>
    <row r="87" spans="1:3" x14ac:dyDescent="0.25">
      <c r="A87" s="34" t="str">
        <f>Guararapes!A22</f>
        <v>LUIS HENRIQUE SANTIAGO FIALHO</v>
      </c>
      <c r="B87" s="34" t="str">
        <f>Guararapes!B22</f>
        <v>GUARARAPES</v>
      </c>
      <c r="C87" s="33">
        <f>IFERROR(VLOOKUP(Tabela15[[#This Row],[Motoristas]],Tabela7[],3,0),0)</f>
        <v>0</v>
      </c>
    </row>
    <row r="88" spans="1:3" x14ac:dyDescent="0.25">
      <c r="A88" s="34" t="str">
        <f>Guararapes!A23</f>
        <v>MICHEL ANTONIOLI</v>
      </c>
      <c r="B88" s="34" t="str">
        <f>Guararapes!B23</f>
        <v>GUARARAPES</v>
      </c>
      <c r="C88" s="33">
        <f>IFERROR(VLOOKUP(Tabela15[[#This Row],[Motoristas]],Tabela7[],3,0),0)</f>
        <v>0</v>
      </c>
    </row>
    <row r="89" spans="1:3" x14ac:dyDescent="0.25">
      <c r="A89" s="34" t="str">
        <f>Guararapes!A24</f>
        <v>PAULO CESAR VICENTINI</v>
      </c>
      <c r="B89" s="34" t="str">
        <f>Guararapes!B24</f>
        <v>GUARARAPES</v>
      </c>
      <c r="C89" s="33">
        <f>IFERROR(VLOOKUP(Tabela15[[#This Row],[Motoristas]],Tabela7[],3,0),0)</f>
        <v>0</v>
      </c>
    </row>
    <row r="90" spans="1:3" x14ac:dyDescent="0.25">
      <c r="A90" s="34" t="str">
        <f>Guararapes!A25</f>
        <v>TATIANE CAXIMIRO PEREIRA</v>
      </c>
      <c r="B90" s="34" t="str">
        <f>Guararapes!B25</f>
        <v>GUARARAPES</v>
      </c>
      <c r="C90" s="33">
        <f>IFERROR(VLOOKUP(Tabela15[[#This Row],[Motoristas]],Tabela7[],3,0),0)</f>
        <v>1</v>
      </c>
    </row>
    <row r="91" spans="1:3" x14ac:dyDescent="0.25">
      <c r="A91" s="34" t="str">
        <f>Guararapes!A26</f>
        <v>VALDINEY FERREIRA PRIMO</v>
      </c>
      <c r="B91" s="34" t="str">
        <f>Guararapes!B26</f>
        <v>GUARARAPES</v>
      </c>
      <c r="C91" s="33">
        <f>IFERROR(VLOOKUP(Tabela15[[#This Row],[Motoristas]],Tabela7[],3,0),0)</f>
        <v>0</v>
      </c>
    </row>
    <row r="92" spans="1:3" x14ac:dyDescent="0.25">
      <c r="A92" s="34" t="str">
        <f>Guararapes!A27</f>
        <v>WESLEY ZANETTI DE OLIVEIRA</v>
      </c>
      <c r="B92" s="34" t="str">
        <f>Guararapes!B27</f>
        <v>GUARARAPES</v>
      </c>
      <c r="C92" s="33">
        <f>IFERROR(VLOOKUP(Tabela15[[#This Row],[Motoristas]],Tabela7[],3,0),0)</f>
        <v>0</v>
      </c>
    </row>
    <row r="93" spans="1:3" x14ac:dyDescent="0.25">
      <c r="A93" s="34" t="str">
        <f>Guararapes!A28</f>
        <v>WILLIAM ANDRADE DE MOURA</v>
      </c>
      <c r="B93" s="34" t="str">
        <f>Guararapes!B28</f>
        <v>GUARARAPES</v>
      </c>
      <c r="C93" s="33">
        <f>IFERROR(VLOOKUP(Tabela15[[#This Row],[Motoristas]],Tabela7[],3,0),0)</f>
        <v>0</v>
      </c>
    </row>
    <row r="94" spans="1:3" x14ac:dyDescent="0.25">
      <c r="A94" s="34" t="str">
        <f>Itajai!A3</f>
        <v>FRANCISCO DAS CHAGAS CORREA CRISPIM</v>
      </c>
      <c r="B94" s="34" t="str">
        <f>Itajai!B3</f>
        <v>ITAJAI</v>
      </c>
      <c r="C94" s="33">
        <f>IFERROR(VLOOKUP(Tabela15[[#This Row],[Motoristas]],Tabela8[],3,0),0)</f>
        <v>0</v>
      </c>
    </row>
    <row r="95" spans="1:3" x14ac:dyDescent="0.25">
      <c r="A95" s="34" t="str">
        <f>Itajai!A4</f>
        <v>ROGERIO FRANÇA DOS SANTOS</v>
      </c>
      <c r="B95" s="34" t="str">
        <f>Itajai!B4</f>
        <v>ITAJAI</v>
      </c>
      <c r="C95" s="33">
        <f>IFERROR(VLOOKUP(Tabela15[[#This Row],[Motoristas]],Tabela8[],3,0),0)</f>
        <v>0</v>
      </c>
    </row>
    <row r="96" spans="1:3" x14ac:dyDescent="0.25">
      <c r="A96" s="34" t="str">
        <f>Itajai!A5</f>
        <v xml:space="preserve">SILVANO DA SILVA FREITAS </v>
      </c>
      <c r="B96" s="34" t="str">
        <f>Itajai!B5</f>
        <v>ITAJAI</v>
      </c>
      <c r="C96" s="33">
        <f>IFERROR(VLOOKUP(Tabela15[[#This Row],[Motoristas]],Tabela8[],3,0),0)</f>
        <v>3</v>
      </c>
    </row>
    <row r="97" spans="1:3" x14ac:dyDescent="0.25">
      <c r="A97" s="34" t="str">
        <f>Paulínia!A3</f>
        <v>ANTONIO APARECIDO PEREIRA</v>
      </c>
      <c r="B97" s="34" t="str">
        <f>Paulínia!B3</f>
        <v>PAULINIA</v>
      </c>
      <c r="C97" s="33">
        <f>IFERROR(VLOOKUP(Tabela15[[#This Row],[Motoristas]],Tabela810[],3,0),0)</f>
        <v>0</v>
      </c>
    </row>
    <row r="98" spans="1:3" x14ac:dyDescent="0.25">
      <c r="A98" s="34" t="str">
        <f>Paulínia!A4</f>
        <v>JOSE AUGUSTO DOS SANTOS</v>
      </c>
      <c r="B98" s="34" t="str">
        <f>Paulínia!B4</f>
        <v>PAULINIA</v>
      </c>
      <c r="C98" s="33">
        <f>IFERROR(VLOOKUP(Tabela15[[#This Row],[Motoristas]],Tabela810[],3,0),0)</f>
        <v>0</v>
      </c>
    </row>
    <row r="99" spans="1:3" x14ac:dyDescent="0.25">
      <c r="A99" s="34" t="str">
        <f>Paulínia!A5</f>
        <v>RENATO PEREIRA FRANÇA</v>
      </c>
      <c r="B99" s="34" t="str">
        <f>Paulínia!B5</f>
        <v>PAULINIA</v>
      </c>
      <c r="C99" s="33">
        <f>IFERROR(VLOOKUP(Tabela15[[#This Row],[Motoristas]],Tabela810[],3,0),0)</f>
        <v>0</v>
      </c>
    </row>
    <row r="100" spans="1:3" x14ac:dyDescent="0.25">
      <c r="A100" s="34" t="str">
        <f>'São José dos Campos'!A3</f>
        <v>AGUINALDO DOS SANTOS TEIXEIRA</v>
      </c>
      <c r="B100" s="34" t="str">
        <f>'São José dos Campos'!B3</f>
        <v>SAO JOSE DOS CAMPOS</v>
      </c>
      <c r="C100" s="33">
        <f>IFERROR(VLOOKUP(Tabela15[[#This Row],[Motoristas]],Tabela81011[],3,0),0)</f>
        <v>1</v>
      </c>
    </row>
    <row r="101" spans="1:3" x14ac:dyDescent="0.25">
      <c r="A101" s="34" t="str">
        <f>'São José dos Campos'!A4</f>
        <v>KERLEI MIRANDA MARTINS</v>
      </c>
      <c r="B101" s="34" t="str">
        <f>'São José dos Campos'!B4</f>
        <v>SAO JOSE DOS CAMPOS</v>
      </c>
      <c r="C101" s="33">
        <f>IFERROR(VLOOKUP(Tabela15[[#This Row],[Motoristas]],Tabela81011[],3,0),0)</f>
        <v>2</v>
      </c>
    </row>
    <row r="102" spans="1:3" x14ac:dyDescent="0.25">
      <c r="A102" s="34" t="str">
        <f>'São José dos Campos'!A5</f>
        <v>RONAN ROMULO ANTUNES</v>
      </c>
      <c r="B102" s="34" t="str">
        <f>'São José dos Campos'!B5</f>
        <v>SAO JOSE DOS CAMPOS</v>
      </c>
      <c r="C102" s="33">
        <f>IFERROR(VLOOKUP(Tabela15[[#This Row],[Motoristas]],Tabela81011[],3,0),0)</f>
        <v>6</v>
      </c>
    </row>
    <row r="103" spans="1:3" x14ac:dyDescent="0.25">
      <c r="A103" s="34" t="str">
        <f>'São José dos Campos'!A6</f>
        <v>TADEU JOSE CAETANO DE SOUZA</v>
      </c>
      <c r="B103" s="34" t="str">
        <f>'São José dos Campos'!B6</f>
        <v>SAO JOSE DOS CAMPOS</v>
      </c>
      <c r="C103" s="33">
        <f>IFERROR(VLOOKUP(Tabela15[[#This Row],[Motoristas]],Tabela81011[],3,0),0)</f>
        <v>0</v>
      </c>
    </row>
    <row r="104" spans="1:3" x14ac:dyDescent="0.25">
      <c r="A104" s="34" t="str">
        <f>Tabela312[Motoristas]</f>
        <v>SIDNEI DE OLIVEIRA MARIANO</v>
      </c>
      <c r="B104" s="34" t="str">
        <f>Tabela312[Filial]</f>
        <v>SARANDI</v>
      </c>
      <c r="C104" s="33">
        <f>IFERROR(VLOOKUP(Tabela15[[#This Row],[Motoristas]],Tabela312[],3,0),0)</f>
        <v>0</v>
      </c>
    </row>
    <row r="105" spans="1:3" x14ac:dyDescent="0.25">
      <c r="A105" s="34" t="str">
        <f>Uberaba!A3</f>
        <v xml:space="preserve">NIVALDO REIS MACHADO </v>
      </c>
      <c r="B105" s="34" t="str">
        <f>Uberaba!B3</f>
        <v>UBERABA</v>
      </c>
      <c r="C105" s="33">
        <f>IFERROR(VLOOKUP(Tabela15[[#This Row],[Motoristas]],Tabela8101113[],3,0),0)</f>
        <v>4</v>
      </c>
    </row>
    <row r="106" spans="1:3" x14ac:dyDescent="0.25">
      <c r="A106" s="34" t="str">
        <f>Uberaba!A4</f>
        <v>SIDNEY RODRIGUES FERREIRA</v>
      </c>
      <c r="B106" s="34" t="str">
        <f>Uberaba!B4</f>
        <v>UBERABA</v>
      </c>
      <c r="C106" s="33">
        <f>IFERROR(VLOOKUP(Tabela15[[#This Row],[Motoristas]],Tabela8101113[],3,0),0)</f>
        <v>12</v>
      </c>
    </row>
    <row r="107" spans="1:3" x14ac:dyDescent="0.25">
      <c r="A107" s="34" t="str">
        <f>Uberaba!A5</f>
        <v xml:space="preserve">WELLINGTON DE MELO BATISTA </v>
      </c>
      <c r="B107" s="34" t="str">
        <f>Uberaba!B5</f>
        <v>UBERABA</v>
      </c>
      <c r="C107" s="33">
        <f>IFERROR(VLOOKUP(Tabela15[[#This Row],[Motoristas]],Tabela8101113[],3,0),0)</f>
        <v>3</v>
      </c>
    </row>
    <row r="108" spans="1:3" x14ac:dyDescent="0.25">
      <c r="A108" s="34" t="str">
        <f>Uberlandia!A3</f>
        <v>HIGOR GABRIEL OLIVEIRA BITU</v>
      </c>
      <c r="B108" s="34" t="str">
        <f>Uberlandia!B3</f>
        <v>UBERLANDIA</v>
      </c>
      <c r="C108" s="33">
        <f>IFERROR(VLOOKUP(Tabela15[[#This Row],[Motoristas]],Tabela810111314[],3,0),0)</f>
        <v>5</v>
      </c>
    </row>
    <row r="109" spans="1:3" x14ac:dyDescent="0.25">
      <c r="A109" s="34" t="str">
        <f>Uberlandia!A4</f>
        <v xml:space="preserve">JOSE DONIZETE FERREIRA GOMES </v>
      </c>
      <c r="B109" s="34" t="str">
        <f>Uberlandia!B4</f>
        <v>UBERLANDIA</v>
      </c>
      <c r="C109" s="33">
        <f>IFERROR(VLOOKUP(Tabela15[[#This Row],[Motoristas]],Tabela810111314[],3,0),0)</f>
        <v>1</v>
      </c>
    </row>
    <row r="110" spans="1:3" x14ac:dyDescent="0.25">
      <c r="A110" s="34" t="str">
        <f>'Várzea Grande'!A3</f>
        <v>ANTONIO JOSE DE SOUZA MARTINS</v>
      </c>
      <c r="B110" s="34" t="str">
        <f>'Várzea Grande'!B3</f>
        <v>VARZEA GRANDE</v>
      </c>
      <c r="C110" s="33">
        <f>IFERROR(VLOOKUP(Tabela15[[#This Row],[Motoristas]],Tabela81015[],3,0),0)</f>
        <v>0</v>
      </c>
    </row>
    <row r="111" spans="1:3" x14ac:dyDescent="0.25">
      <c r="A111" s="34" t="str">
        <f>'Várzea Grande'!A4</f>
        <v>EVERTON TEODORO DOS SANTOS SILVA</v>
      </c>
      <c r="B111" s="34" t="str">
        <f>'Várzea Grande'!B4</f>
        <v>VARZEA GRANDE</v>
      </c>
      <c r="C111" s="33">
        <f>IFERROR(VLOOKUP(Tabela15[[#This Row],[Motoristas]],Tabela81015[],3,0),0)</f>
        <v>0</v>
      </c>
    </row>
    <row r="112" spans="1:3" x14ac:dyDescent="0.25">
      <c r="A112" s="34" t="str">
        <f>'Várzea Grande'!A5</f>
        <v>JORGE SANTOS DA SILVA</v>
      </c>
      <c r="B112" s="34" t="str">
        <f>'Várzea Grande'!B5</f>
        <v>VARZEA GRANDE</v>
      </c>
      <c r="C112" s="33">
        <f>IFERROR(VLOOKUP(Tabela15[[#This Row],[Motoristas]],Tabela81015[],3,0),0)</f>
        <v>0</v>
      </c>
    </row>
    <row r="113" spans="1:3" x14ac:dyDescent="0.25">
      <c r="A113" s="34" t="str">
        <f>'Várzea Grande'!A6</f>
        <v>MARCOS ROBERTO DOS SANTOS</v>
      </c>
      <c r="B113" s="34" t="str">
        <f>'Várzea Grande'!B6</f>
        <v>VARZEA GRANDE</v>
      </c>
      <c r="C113" s="33">
        <f>IFERROR(VLOOKUP(Tabela15[[#This Row],[Motoristas]],Tabela81015[],3,0),0)</f>
        <v>0</v>
      </c>
    </row>
    <row r="114" spans="1:3" x14ac:dyDescent="0.25">
      <c r="A114" s="34" t="str">
        <f>'Várzea Grande'!A7</f>
        <v>OTAVIO ROSA FRANCO</v>
      </c>
      <c r="B114" s="34" t="str">
        <f>'Várzea Grande'!B7</f>
        <v>VARZEA GRANDE</v>
      </c>
      <c r="C114" s="33">
        <f>IFERROR(VLOOKUP(Tabela15[[#This Row],[Motoristas]],Tabela81015[],3,0),0)</f>
        <v>0</v>
      </c>
    </row>
    <row r="115" spans="1:3" x14ac:dyDescent="0.25">
      <c r="A115" s="34"/>
      <c r="B115" s="34"/>
      <c r="C115" s="33">
        <f>SUBTOTAL(109,Tabela15[Picos de Velocidade])</f>
        <v>201</v>
      </c>
    </row>
  </sheetData>
  <conditionalFormatting sqref="C4:C43 C45:C114">
    <cfRule type="dataBar" priority="6">
      <dataBar>
        <cfvo type="num" val="0"/>
        <cfvo type="num" val="30"/>
        <color rgb="FF00B050"/>
      </dataBar>
      <extLst>
        <ext xmlns:x14="http://schemas.microsoft.com/office/spreadsheetml/2009/9/main" uri="{B025F937-C7B1-47D3-B67F-A62EFF666E3E}">
          <x14:id>{57609E4F-4F93-466E-B3D8-286B65881F48}</x14:id>
        </ext>
      </extLst>
    </cfRule>
  </conditionalFormatting>
  <conditionalFormatting sqref="C4:C43 C45:C114">
    <cfRule type="cellIs" dxfId="110" priority="3" operator="greaterThan">
      <formula>30</formula>
    </cfRule>
  </conditionalFormatting>
  <conditionalFormatting sqref="C3">
    <cfRule type="dataBar" priority="2">
      <dataBar>
        <cfvo type="num" val="0"/>
        <cfvo type="num" val="30"/>
        <color rgb="FF00B050"/>
      </dataBar>
      <extLst>
        <ext xmlns:x14="http://schemas.microsoft.com/office/spreadsheetml/2009/9/main" uri="{B025F937-C7B1-47D3-B67F-A62EFF666E3E}">
          <x14:id>{BF9A95E1-A48A-4E13-99A3-065CF98D9A34}</x14:id>
        </ext>
      </extLst>
    </cfRule>
  </conditionalFormatting>
  <conditionalFormatting sqref="C3">
    <cfRule type="cellIs" dxfId="109" priority="1" operator="greaterThan">
      <formula>30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609E4F-4F93-466E-B3D8-286B65881F48}">
            <x14:dataBar minLength="0" maxLength="100" gradient="0" direction="leftToRight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C4:C43 C45:C114</xm:sqref>
        </x14:conditionalFormatting>
        <x14:conditionalFormatting xmlns:xm="http://schemas.microsoft.com/office/excel/2006/main">
          <x14:cfRule type="dataBar" id="{BF9A95E1-A48A-4E13-99A3-065CF98D9A34}">
            <x14:dataBar minLength="0" maxLength="100" gradient="0" direction="leftToRight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C3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O42"/>
  <sheetViews>
    <sheetView showGridLines="0" zoomScale="90" zoomScaleNormal="90" workbookViewId="0">
      <selection activeCell="D38" sqref="D38"/>
    </sheetView>
  </sheetViews>
  <sheetFormatPr defaultRowHeight="15" x14ac:dyDescent="0.25"/>
  <cols>
    <col min="1" max="1" width="39.5703125" style="3" bestFit="1" customWidth="1"/>
    <col min="2" max="2" width="11.42578125" style="3" bestFit="1" customWidth="1"/>
    <col min="3" max="3" width="22" style="15" bestFit="1" customWidth="1"/>
    <col min="4" max="13" width="9.140625" style="3"/>
    <col min="14" max="15" width="13.28515625" style="3" bestFit="1" customWidth="1"/>
    <col min="16" max="16384" width="9.140625" style="3"/>
  </cols>
  <sheetData>
    <row r="1" spans="1:15" x14ac:dyDescent="0.25">
      <c r="A1" s="2" t="s">
        <v>66</v>
      </c>
      <c r="B1" s="1"/>
      <c r="C1" s="1"/>
    </row>
    <row r="2" spans="1:15" x14ac:dyDescent="0.25">
      <c r="A2" s="1" t="s">
        <v>8</v>
      </c>
      <c r="B2" s="1" t="s">
        <v>9</v>
      </c>
      <c r="C2" s="1" t="s">
        <v>65</v>
      </c>
    </row>
    <row r="3" spans="1:15" x14ac:dyDescent="0.25">
      <c r="A3" s="12" t="s">
        <v>107</v>
      </c>
      <c r="B3" s="14" t="s">
        <v>56</v>
      </c>
      <c r="C3" s="15">
        <v>1</v>
      </c>
      <c r="L3" s="21"/>
      <c r="N3" s="22"/>
    </row>
    <row r="4" spans="1:15" x14ac:dyDescent="0.25">
      <c r="A4" s="18" t="s">
        <v>78</v>
      </c>
      <c r="B4" s="14" t="s">
        <v>56</v>
      </c>
      <c r="C4" s="15">
        <v>1</v>
      </c>
      <c r="L4" s="21"/>
      <c r="N4" s="22"/>
    </row>
    <row r="5" spans="1:15" x14ac:dyDescent="0.25">
      <c r="A5" s="13" t="s">
        <v>82</v>
      </c>
      <c r="B5" s="14" t="s">
        <v>56</v>
      </c>
      <c r="C5" s="15">
        <v>37</v>
      </c>
      <c r="N5" s="23"/>
    </row>
    <row r="6" spans="1:15" x14ac:dyDescent="0.25">
      <c r="A6" s="13" t="s">
        <v>0</v>
      </c>
      <c r="B6" s="14" t="s">
        <v>56</v>
      </c>
      <c r="N6" s="23"/>
      <c r="O6" s="23"/>
    </row>
    <row r="7" spans="1:15" x14ac:dyDescent="0.25">
      <c r="A7" s="13" t="s">
        <v>73</v>
      </c>
      <c r="B7" s="14" t="s">
        <v>56</v>
      </c>
      <c r="C7" s="15">
        <v>12</v>
      </c>
    </row>
    <row r="8" spans="1:15" x14ac:dyDescent="0.25">
      <c r="A8" s="13" t="s">
        <v>1</v>
      </c>
      <c r="B8" s="14" t="s">
        <v>56</v>
      </c>
    </row>
    <row r="9" spans="1:15" x14ac:dyDescent="0.25">
      <c r="A9" s="13" t="s">
        <v>109</v>
      </c>
      <c r="B9" s="14" t="s">
        <v>56</v>
      </c>
      <c r="C9" s="15">
        <v>1</v>
      </c>
    </row>
    <row r="10" spans="1:15" x14ac:dyDescent="0.25">
      <c r="A10" s="13" t="s">
        <v>2</v>
      </c>
      <c r="B10" s="14" t="s">
        <v>56</v>
      </c>
      <c r="C10" s="15">
        <v>1</v>
      </c>
    </row>
    <row r="11" spans="1:15" x14ac:dyDescent="0.25">
      <c r="A11" s="13" t="s">
        <v>89</v>
      </c>
      <c r="B11" s="14" t="s">
        <v>56</v>
      </c>
      <c r="C11" s="15">
        <v>7</v>
      </c>
    </row>
    <row r="12" spans="1:15" x14ac:dyDescent="0.25">
      <c r="A12" s="13" t="s">
        <v>85</v>
      </c>
      <c r="B12" s="14" t="s">
        <v>56</v>
      </c>
      <c r="C12" s="15">
        <v>1</v>
      </c>
    </row>
    <row r="13" spans="1:15" x14ac:dyDescent="0.25">
      <c r="A13" s="13" t="s">
        <v>129</v>
      </c>
      <c r="B13" s="14" t="s">
        <v>56</v>
      </c>
      <c r="C13" s="15">
        <v>1</v>
      </c>
    </row>
    <row r="14" spans="1:15" x14ac:dyDescent="0.25">
      <c r="A14" s="13" t="s">
        <v>76</v>
      </c>
      <c r="B14" s="14" t="s">
        <v>56</v>
      </c>
    </row>
    <row r="15" spans="1:15" x14ac:dyDescent="0.25">
      <c r="A15" s="13" t="s">
        <v>88</v>
      </c>
      <c r="B15" s="14" t="s">
        <v>56</v>
      </c>
    </row>
    <row r="16" spans="1:15" x14ac:dyDescent="0.25">
      <c r="A16" s="12" t="s">
        <v>119</v>
      </c>
      <c r="B16" s="14" t="s">
        <v>56</v>
      </c>
    </row>
    <row r="17" spans="1:3" x14ac:dyDescent="0.25">
      <c r="A17" s="12" t="s">
        <v>3</v>
      </c>
      <c r="B17" s="14" t="s">
        <v>56</v>
      </c>
      <c r="C17" s="15">
        <v>14</v>
      </c>
    </row>
    <row r="18" spans="1:3" x14ac:dyDescent="0.25">
      <c r="A18" s="3" t="s">
        <v>80</v>
      </c>
      <c r="B18" s="14" t="s">
        <v>56</v>
      </c>
    </row>
    <row r="19" spans="1:3" x14ac:dyDescent="0.25">
      <c r="A19" s="31" t="s">
        <v>75</v>
      </c>
      <c r="B19" s="14" t="s">
        <v>56</v>
      </c>
    </row>
    <row r="20" spans="1:3" x14ac:dyDescent="0.25">
      <c r="A20" s="31" t="s">
        <v>93</v>
      </c>
      <c r="B20" s="14" t="s">
        <v>56</v>
      </c>
      <c r="C20" s="15">
        <v>4</v>
      </c>
    </row>
    <row r="21" spans="1:3" x14ac:dyDescent="0.25">
      <c r="A21" s="13" t="s">
        <v>96</v>
      </c>
      <c r="B21" s="14" t="s">
        <v>56</v>
      </c>
    </row>
    <row r="22" spans="1:3" x14ac:dyDescent="0.25">
      <c r="A22" s="13" t="s">
        <v>97</v>
      </c>
      <c r="B22" s="14" t="s">
        <v>56</v>
      </c>
      <c r="C22" s="15">
        <v>3</v>
      </c>
    </row>
    <row r="23" spans="1:3" x14ac:dyDescent="0.25">
      <c r="A23" s="35" t="s">
        <v>104</v>
      </c>
      <c r="B23" s="14" t="s">
        <v>56</v>
      </c>
    </row>
    <row r="24" spans="1:3" x14ac:dyDescent="0.25">
      <c r="A24" s="43" t="s">
        <v>128</v>
      </c>
      <c r="B24" s="14" t="s">
        <v>56</v>
      </c>
    </row>
    <row r="25" spans="1:3" x14ac:dyDescent="0.25">
      <c r="A25" s="13" t="s">
        <v>4</v>
      </c>
      <c r="B25" s="14" t="s">
        <v>56</v>
      </c>
    </row>
    <row r="26" spans="1:3" x14ac:dyDescent="0.25">
      <c r="A26" s="13" t="s">
        <v>83</v>
      </c>
      <c r="B26" s="14" t="s">
        <v>56</v>
      </c>
      <c r="C26" s="15">
        <v>7</v>
      </c>
    </row>
    <row r="27" spans="1:3" x14ac:dyDescent="0.25">
      <c r="A27" s="12" t="s">
        <v>91</v>
      </c>
      <c r="B27" s="14" t="s">
        <v>56</v>
      </c>
      <c r="C27" s="15">
        <v>1</v>
      </c>
    </row>
    <row r="28" spans="1:3" x14ac:dyDescent="0.25">
      <c r="A28" s="12" t="s">
        <v>98</v>
      </c>
      <c r="B28" s="14" t="s">
        <v>56</v>
      </c>
    </row>
    <row r="29" spans="1:3" x14ac:dyDescent="0.25">
      <c r="A29" s="12" t="s">
        <v>120</v>
      </c>
      <c r="B29" s="14" t="s">
        <v>56</v>
      </c>
      <c r="C29" s="15">
        <v>2</v>
      </c>
    </row>
    <row r="30" spans="1:3" x14ac:dyDescent="0.25">
      <c r="A30" s="13" t="s">
        <v>5</v>
      </c>
      <c r="B30" s="14" t="s">
        <v>56</v>
      </c>
      <c r="C30" s="15">
        <v>2</v>
      </c>
    </row>
    <row r="31" spans="1:3" x14ac:dyDescent="0.25">
      <c r="A31" s="18" t="s">
        <v>77</v>
      </c>
      <c r="B31" s="14" t="s">
        <v>56</v>
      </c>
      <c r="C31" s="15">
        <v>1</v>
      </c>
    </row>
    <row r="32" spans="1:3" x14ac:dyDescent="0.25">
      <c r="A32" s="18" t="s">
        <v>86</v>
      </c>
      <c r="B32" s="14" t="s">
        <v>56</v>
      </c>
    </row>
    <row r="33" spans="1:3" x14ac:dyDescent="0.25">
      <c r="A33" s="13" t="s">
        <v>99</v>
      </c>
      <c r="B33" s="14" t="s">
        <v>56</v>
      </c>
    </row>
    <row r="34" spans="1:3" x14ac:dyDescent="0.25">
      <c r="A34" s="13" t="s">
        <v>6</v>
      </c>
      <c r="B34" s="14" t="s">
        <v>56</v>
      </c>
    </row>
    <row r="35" spans="1:3" x14ac:dyDescent="0.25">
      <c r="A35" s="13" t="s">
        <v>100</v>
      </c>
      <c r="B35" s="14" t="s">
        <v>56</v>
      </c>
    </row>
    <row r="36" spans="1:3" x14ac:dyDescent="0.25">
      <c r="A36" s="13" t="s">
        <v>94</v>
      </c>
      <c r="B36" s="14" t="s">
        <v>56</v>
      </c>
      <c r="C36" s="15">
        <v>2</v>
      </c>
    </row>
    <row r="37" spans="1:3" x14ac:dyDescent="0.25">
      <c r="A37" s="13" t="s">
        <v>110</v>
      </c>
      <c r="B37" s="14" t="s">
        <v>56</v>
      </c>
      <c r="C37" s="15">
        <v>1</v>
      </c>
    </row>
    <row r="38" spans="1:3" x14ac:dyDescent="0.25">
      <c r="A38" s="13" t="s">
        <v>103</v>
      </c>
      <c r="B38" s="14" t="s">
        <v>56</v>
      </c>
    </row>
    <row r="39" spans="1:3" x14ac:dyDescent="0.25">
      <c r="A39" s="13" t="s">
        <v>7</v>
      </c>
      <c r="B39" s="14" t="s">
        <v>56</v>
      </c>
    </row>
    <row r="40" spans="1:3" x14ac:dyDescent="0.25">
      <c r="A40" s="13" t="s">
        <v>126</v>
      </c>
      <c r="B40" s="14" t="s">
        <v>56</v>
      </c>
    </row>
    <row r="41" spans="1:3" x14ac:dyDescent="0.25">
      <c r="A41" s="13" t="s">
        <v>127</v>
      </c>
      <c r="B41" s="14" t="s">
        <v>56</v>
      </c>
    </row>
    <row r="42" spans="1:3" x14ac:dyDescent="0.25">
      <c r="A42" s="44"/>
      <c r="B42" s="45"/>
      <c r="C42" s="15">
        <f>SUBTOTAL(109,Tabela2[Picos de Velocidade])</f>
        <v>99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C4"/>
  <sheetViews>
    <sheetView showGridLines="0" workbookViewId="0">
      <selection activeCell="D18" sqref="D18"/>
    </sheetView>
  </sheetViews>
  <sheetFormatPr defaultRowHeight="15" x14ac:dyDescent="0.25"/>
  <cols>
    <col min="1" max="1" width="39.5703125" style="3" bestFit="1" customWidth="1"/>
    <col min="2" max="2" width="15.710937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6" t="s">
        <v>111</v>
      </c>
      <c r="B3" s="14" t="s">
        <v>57</v>
      </c>
      <c r="C3" s="15"/>
    </row>
    <row r="4" spans="1:3" x14ac:dyDescent="0.25">
      <c r="A4" s="13" t="s">
        <v>10</v>
      </c>
      <c r="B4" s="14" t="s">
        <v>57</v>
      </c>
      <c r="C4" s="1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C4"/>
  <sheetViews>
    <sheetView showGridLines="0" workbookViewId="0">
      <selection activeCell="C3" sqref="C3"/>
    </sheetView>
  </sheetViews>
  <sheetFormatPr defaultRowHeight="15" x14ac:dyDescent="0.25"/>
  <cols>
    <col min="1" max="1" width="39.5703125" style="3" bestFit="1" customWidth="1"/>
    <col min="2" max="2" width="15.710937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3" t="s">
        <v>105</v>
      </c>
      <c r="B3" s="14" t="s">
        <v>106</v>
      </c>
      <c r="C3" s="15"/>
    </row>
    <row r="4" spans="1:3" x14ac:dyDescent="0.25">
      <c r="A4" s="19"/>
      <c r="B4" s="20"/>
      <c r="C4" s="15">
        <f>SUBTOTAL(109,Tabela5[Picos de Velocidade])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C26"/>
  <sheetViews>
    <sheetView showGridLines="0" workbookViewId="0">
      <selection activeCell="A25" sqref="A25"/>
    </sheetView>
  </sheetViews>
  <sheetFormatPr defaultRowHeight="15" x14ac:dyDescent="0.25"/>
  <cols>
    <col min="1" max="1" width="39.5703125" style="3" bestFit="1" customWidth="1"/>
    <col min="2" max="2" width="15.710937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3" t="s">
        <v>92</v>
      </c>
      <c r="B3" s="17" t="s">
        <v>11</v>
      </c>
      <c r="C3" s="15"/>
    </row>
    <row r="4" spans="1:3" x14ac:dyDescent="0.25">
      <c r="A4" s="13" t="s">
        <v>14</v>
      </c>
      <c r="B4" s="17" t="s">
        <v>11</v>
      </c>
      <c r="C4" s="15"/>
    </row>
    <row r="5" spans="1:3" x14ac:dyDescent="0.25">
      <c r="A5" s="13" t="s">
        <v>15</v>
      </c>
      <c r="B5" s="17" t="s">
        <v>11</v>
      </c>
      <c r="C5" s="15"/>
    </row>
    <row r="6" spans="1:3" x14ac:dyDescent="0.25">
      <c r="A6" s="13" t="s">
        <v>16</v>
      </c>
      <c r="B6" s="17" t="s">
        <v>11</v>
      </c>
      <c r="C6" s="15"/>
    </row>
    <row r="7" spans="1:3" x14ac:dyDescent="0.25">
      <c r="A7" s="13" t="s">
        <v>17</v>
      </c>
      <c r="B7" s="17" t="s">
        <v>11</v>
      </c>
      <c r="C7" s="15"/>
    </row>
    <row r="8" spans="1:3" x14ac:dyDescent="0.25">
      <c r="A8" s="13" t="s">
        <v>27</v>
      </c>
      <c r="B8" s="17" t="s">
        <v>11</v>
      </c>
      <c r="C8" s="15">
        <v>2</v>
      </c>
    </row>
    <row r="9" spans="1:3" x14ac:dyDescent="0.25">
      <c r="A9" s="13" t="s">
        <v>108</v>
      </c>
      <c r="B9" s="17" t="s">
        <v>11</v>
      </c>
      <c r="C9" s="15"/>
    </row>
    <row r="10" spans="1:3" x14ac:dyDescent="0.25">
      <c r="A10" s="13" t="s">
        <v>18</v>
      </c>
      <c r="B10" s="17" t="s">
        <v>11</v>
      </c>
      <c r="C10" s="15">
        <v>4</v>
      </c>
    </row>
    <row r="11" spans="1:3" x14ac:dyDescent="0.25">
      <c r="A11" s="13" t="s">
        <v>121</v>
      </c>
      <c r="B11" s="17" t="s">
        <v>11</v>
      </c>
      <c r="C11" s="15">
        <v>1</v>
      </c>
    </row>
    <row r="12" spans="1:3" x14ac:dyDescent="0.25">
      <c r="A12" s="13" t="s">
        <v>23</v>
      </c>
      <c r="B12" s="17" t="s">
        <v>11</v>
      </c>
      <c r="C12" s="15">
        <v>1</v>
      </c>
    </row>
    <row r="13" spans="1:3" x14ac:dyDescent="0.25">
      <c r="A13" s="13" t="s">
        <v>12</v>
      </c>
      <c r="B13" s="17" t="s">
        <v>11</v>
      </c>
      <c r="C13" s="15"/>
    </row>
    <row r="14" spans="1:3" x14ac:dyDescent="0.25">
      <c r="A14" s="13" t="s">
        <v>24</v>
      </c>
      <c r="B14" s="17" t="s">
        <v>11</v>
      </c>
      <c r="C14" s="15">
        <v>1</v>
      </c>
    </row>
    <row r="15" spans="1:3" x14ac:dyDescent="0.25">
      <c r="A15" s="13" t="s">
        <v>25</v>
      </c>
      <c r="B15" s="17" t="s">
        <v>11</v>
      </c>
      <c r="C15" s="15"/>
    </row>
    <row r="16" spans="1:3" x14ac:dyDescent="0.25">
      <c r="A16" s="13" t="s">
        <v>13</v>
      </c>
      <c r="B16" s="17" t="s">
        <v>11</v>
      </c>
      <c r="C16" s="15"/>
    </row>
    <row r="17" spans="1:3" x14ac:dyDescent="0.25">
      <c r="A17" s="13" t="s">
        <v>19</v>
      </c>
      <c r="B17" s="17" t="s">
        <v>11</v>
      </c>
      <c r="C17" s="15">
        <v>3</v>
      </c>
    </row>
    <row r="18" spans="1:3" x14ac:dyDescent="0.25">
      <c r="A18" s="12" t="s">
        <v>116</v>
      </c>
      <c r="B18" s="17" t="s">
        <v>11</v>
      </c>
      <c r="C18" s="15"/>
    </row>
    <row r="19" spans="1:3" x14ac:dyDescent="0.25">
      <c r="A19" s="3" t="s">
        <v>79</v>
      </c>
      <c r="B19" s="17" t="s">
        <v>11</v>
      </c>
      <c r="C19" s="15"/>
    </row>
    <row r="20" spans="1:3" x14ac:dyDescent="0.25">
      <c r="A20" s="13" t="s">
        <v>20</v>
      </c>
      <c r="B20" s="17" t="s">
        <v>11</v>
      </c>
      <c r="C20" s="15">
        <v>3</v>
      </c>
    </row>
    <row r="21" spans="1:3" x14ac:dyDescent="0.25">
      <c r="A21" s="13" t="s">
        <v>90</v>
      </c>
      <c r="B21" s="17" t="s">
        <v>11</v>
      </c>
      <c r="C21" s="15"/>
    </row>
    <row r="22" spans="1:3" x14ac:dyDescent="0.25">
      <c r="A22" s="13" t="s">
        <v>101</v>
      </c>
      <c r="B22" s="17" t="s">
        <v>11</v>
      </c>
      <c r="C22" s="15"/>
    </row>
    <row r="23" spans="1:3" x14ac:dyDescent="0.25">
      <c r="A23" s="13" t="s">
        <v>21</v>
      </c>
      <c r="B23" s="17" t="s">
        <v>11</v>
      </c>
      <c r="C23" s="15">
        <v>1</v>
      </c>
    </row>
    <row r="24" spans="1:3" x14ac:dyDescent="0.25">
      <c r="A24" s="13" t="s">
        <v>26</v>
      </c>
      <c r="B24" s="17" t="s">
        <v>11</v>
      </c>
      <c r="C24" s="15">
        <v>5</v>
      </c>
    </row>
    <row r="25" spans="1:3" x14ac:dyDescent="0.25">
      <c r="A25" s="13" t="s">
        <v>22</v>
      </c>
      <c r="B25" s="17" t="s">
        <v>11</v>
      </c>
      <c r="C25" s="15">
        <v>1</v>
      </c>
    </row>
    <row r="26" spans="1:3" x14ac:dyDescent="0.25">
      <c r="A26" s="39"/>
      <c r="B26" s="40"/>
      <c r="C26" s="15">
        <f>SUBTOTAL(109,Tabela6[Picos de Velocidade])</f>
        <v>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C29"/>
  <sheetViews>
    <sheetView showGridLines="0" workbookViewId="0">
      <selection activeCell="E25" sqref="E25"/>
    </sheetView>
  </sheetViews>
  <sheetFormatPr defaultRowHeight="15" x14ac:dyDescent="0.25"/>
  <cols>
    <col min="1" max="1" width="39.57031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24" t="s">
        <v>28</v>
      </c>
      <c r="B3" s="25" t="s">
        <v>58</v>
      </c>
      <c r="C3" s="26"/>
    </row>
    <row r="4" spans="1:3" x14ac:dyDescent="0.25">
      <c r="A4" s="24" t="s">
        <v>41</v>
      </c>
      <c r="B4" s="25" t="s">
        <v>58</v>
      </c>
      <c r="C4" s="26">
        <v>1</v>
      </c>
    </row>
    <row r="5" spans="1:3" x14ac:dyDescent="0.25">
      <c r="A5" s="24" t="s">
        <v>29</v>
      </c>
      <c r="B5" s="25" t="s">
        <v>58</v>
      </c>
      <c r="C5" s="26"/>
    </row>
    <row r="6" spans="1:3" x14ac:dyDescent="0.25">
      <c r="A6" s="24" t="s">
        <v>74</v>
      </c>
      <c r="B6" s="25" t="s">
        <v>58</v>
      </c>
      <c r="C6" s="26">
        <v>2</v>
      </c>
    </row>
    <row r="7" spans="1:3" x14ac:dyDescent="0.25">
      <c r="A7" s="24" t="s">
        <v>37</v>
      </c>
      <c r="B7" s="25" t="s">
        <v>58</v>
      </c>
      <c r="C7" s="26"/>
    </row>
    <row r="8" spans="1:3" x14ac:dyDescent="0.25">
      <c r="A8" s="24" t="s">
        <v>30</v>
      </c>
      <c r="B8" s="25" t="s">
        <v>58</v>
      </c>
      <c r="C8" s="26">
        <v>1</v>
      </c>
    </row>
    <row r="9" spans="1:3" x14ac:dyDescent="0.25">
      <c r="A9" s="24" t="s">
        <v>95</v>
      </c>
      <c r="B9" s="25" t="s">
        <v>58</v>
      </c>
      <c r="C9" s="26"/>
    </row>
    <row r="10" spans="1:3" x14ac:dyDescent="0.25">
      <c r="A10" s="24" t="s">
        <v>38</v>
      </c>
      <c r="B10" s="25" t="s">
        <v>58</v>
      </c>
      <c r="C10" s="26"/>
    </row>
    <row r="11" spans="1:3" x14ac:dyDescent="0.25">
      <c r="A11" s="24" t="s">
        <v>31</v>
      </c>
      <c r="B11" s="25" t="s">
        <v>58</v>
      </c>
      <c r="C11" s="26"/>
    </row>
    <row r="12" spans="1:3" x14ac:dyDescent="0.25">
      <c r="A12" s="24" t="s">
        <v>39</v>
      </c>
      <c r="B12" s="25" t="s">
        <v>58</v>
      </c>
      <c r="C12" s="26">
        <v>6</v>
      </c>
    </row>
    <row r="13" spans="1:3" x14ac:dyDescent="0.25">
      <c r="A13" s="24" t="s">
        <v>124</v>
      </c>
      <c r="B13" s="25" t="s">
        <v>58</v>
      </c>
      <c r="C13" s="26"/>
    </row>
    <row r="14" spans="1:3" x14ac:dyDescent="0.25">
      <c r="A14" s="24" t="s">
        <v>122</v>
      </c>
      <c r="B14" s="25" t="s">
        <v>58</v>
      </c>
      <c r="C14" s="26">
        <v>9</v>
      </c>
    </row>
    <row r="15" spans="1:3" x14ac:dyDescent="0.25">
      <c r="A15" s="24" t="s">
        <v>115</v>
      </c>
      <c r="B15" s="25" t="s">
        <v>58</v>
      </c>
      <c r="C15" s="26"/>
    </row>
    <row r="16" spans="1:3" x14ac:dyDescent="0.25">
      <c r="A16" s="24" t="s">
        <v>32</v>
      </c>
      <c r="B16" s="25" t="s">
        <v>58</v>
      </c>
      <c r="C16" s="26">
        <v>20</v>
      </c>
    </row>
    <row r="17" spans="1:3" x14ac:dyDescent="0.25">
      <c r="A17" s="24" t="s">
        <v>40</v>
      </c>
      <c r="B17" s="25" t="s">
        <v>58</v>
      </c>
      <c r="C17" s="26">
        <v>1</v>
      </c>
    </row>
    <row r="18" spans="1:3" x14ac:dyDescent="0.25">
      <c r="A18" s="24" t="s">
        <v>33</v>
      </c>
      <c r="B18" s="25" t="s">
        <v>58</v>
      </c>
      <c r="C18" s="26"/>
    </row>
    <row r="19" spans="1:3" x14ac:dyDescent="0.25">
      <c r="A19" s="24" t="s">
        <v>81</v>
      </c>
      <c r="B19" s="25" t="s">
        <v>58</v>
      </c>
      <c r="C19" s="26"/>
    </row>
    <row r="20" spans="1:3" x14ac:dyDescent="0.25">
      <c r="A20" s="24" t="s">
        <v>118</v>
      </c>
      <c r="B20" s="25" t="s">
        <v>58</v>
      </c>
      <c r="C20" s="26">
        <v>1</v>
      </c>
    </row>
    <row r="21" spans="1:3" x14ac:dyDescent="0.25">
      <c r="A21" s="24" t="s">
        <v>123</v>
      </c>
      <c r="B21" s="25" t="s">
        <v>58</v>
      </c>
      <c r="C21" s="26">
        <v>1</v>
      </c>
    </row>
    <row r="22" spans="1:3" x14ac:dyDescent="0.25">
      <c r="A22" s="13" t="s">
        <v>34</v>
      </c>
      <c r="B22" s="17" t="s">
        <v>58</v>
      </c>
      <c r="C22" s="15"/>
    </row>
    <row r="23" spans="1:3" x14ac:dyDescent="0.25">
      <c r="A23" s="13" t="s">
        <v>71</v>
      </c>
      <c r="B23" s="17" t="s">
        <v>58</v>
      </c>
      <c r="C23" s="15"/>
    </row>
    <row r="24" spans="1:3" x14ac:dyDescent="0.25">
      <c r="A24" s="13" t="s">
        <v>35</v>
      </c>
      <c r="B24" s="17" t="s">
        <v>58</v>
      </c>
      <c r="C24" s="15"/>
    </row>
    <row r="25" spans="1:3" x14ac:dyDescent="0.25">
      <c r="A25" s="13" t="s">
        <v>112</v>
      </c>
      <c r="B25" s="17" t="s">
        <v>58</v>
      </c>
      <c r="C25" s="15">
        <v>1</v>
      </c>
    </row>
    <row r="26" spans="1:3" x14ac:dyDescent="0.25">
      <c r="A26" s="13" t="s">
        <v>72</v>
      </c>
      <c r="B26" s="17" t="s">
        <v>58</v>
      </c>
      <c r="C26" s="15"/>
    </row>
    <row r="27" spans="1:3" x14ac:dyDescent="0.25">
      <c r="A27" s="13" t="s">
        <v>102</v>
      </c>
      <c r="B27" s="17" t="s">
        <v>58</v>
      </c>
      <c r="C27" s="15"/>
    </row>
    <row r="28" spans="1:3" x14ac:dyDescent="0.25">
      <c r="A28" s="13" t="s">
        <v>36</v>
      </c>
      <c r="B28" s="17" t="s">
        <v>58</v>
      </c>
      <c r="C28" s="15"/>
    </row>
    <row r="29" spans="1:3" x14ac:dyDescent="0.25">
      <c r="A29" s="13"/>
      <c r="B29" s="17"/>
      <c r="C29" s="15">
        <f>SUBTOTAL(109,Tabela7[Picos de Velocidade])</f>
        <v>43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C6"/>
  <sheetViews>
    <sheetView showGridLines="0" workbookViewId="0">
      <selection activeCell="A5" sqref="A5"/>
    </sheetView>
  </sheetViews>
  <sheetFormatPr defaultRowHeight="15" x14ac:dyDescent="0.25"/>
  <cols>
    <col min="1" max="1" width="39.57031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3" t="s">
        <v>70</v>
      </c>
      <c r="B3" s="17" t="s">
        <v>42</v>
      </c>
      <c r="C3" s="15"/>
    </row>
    <row r="4" spans="1:3" x14ac:dyDescent="0.25">
      <c r="A4" s="13" t="s">
        <v>113</v>
      </c>
      <c r="B4" s="17" t="s">
        <v>42</v>
      </c>
      <c r="C4" s="15"/>
    </row>
    <row r="5" spans="1:3" x14ac:dyDescent="0.25">
      <c r="A5" s="13" t="s">
        <v>43</v>
      </c>
      <c r="B5" s="17" t="s">
        <v>42</v>
      </c>
      <c r="C5" s="15">
        <v>3</v>
      </c>
    </row>
    <row r="6" spans="1:3" x14ac:dyDescent="0.25">
      <c r="A6" s="37"/>
      <c r="B6" s="38"/>
      <c r="C6" s="15">
        <f>SUBTOTAL(109,Tabela8[Picos de Velocidade])</f>
        <v>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C6"/>
  <sheetViews>
    <sheetView showGridLines="0" workbookViewId="0">
      <selection activeCell="C3" sqref="C3:C5"/>
    </sheetView>
  </sheetViews>
  <sheetFormatPr defaultRowHeight="15" x14ac:dyDescent="0.25"/>
  <cols>
    <col min="1" max="1" width="39.57031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2" t="s">
        <v>45</v>
      </c>
      <c r="B3" s="17" t="s">
        <v>59</v>
      </c>
      <c r="C3" s="15"/>
    </row>
    <row r="4" spans="1:3" x14ac:dyDescent="0.25">
      <c r="A4" s="12" t="s">
        <v>84</v>
      </c>
      <c r="B4" s="17" t="s">
        <v>59</v>
      </c>
      <c r="C4" s="15"/>
    </row>
    <row r="5" spans="1:3" x14ac:dyDescent="0.25">
      <c r="A5" s="13" t="s">
        <v>44</v>
      </c>
      <c r="B5" s="17" t="s">
        <v>59</v>
      </c>
      <c r="C5" s="15"/>
    </row>
    <row r="6" spans="1:3" x14ac:dyDescent="0.25">
      <c r="A6" s="29"/>
      <c r="B6" s="30"/>
      <c r="C6" s="15">
        <f>SUBTOTAL(109,Tabela810[Picos de Velocidade])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C7"/>
  <sheetViews>
    <sheetView showGridLines="0" workbookViewId="0">
      <selection activeCell="A5" sqref="A5"/>
    </sheetView>
  </sheetViews>
  <sheetFormatPr defaultRowHeight="15" x14ac:dyDescent="0.25"/>
  <cols>
    <col min="1" max="1" width="45.1406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2" t="s">
        <v>46</v>
      </c>
      <c r="B3" s="14" t="s">
        <v>60</v>
      </c>
      <c r="C3" s="15">
        <v>1</v>
      </c>
    </row>
    <row r="4" spans="1:3" x14ac:dyDescent="0.25">
      <c r="A4" s="18" t="s">
        <v>114</v>
      </c>
      <c r="B4" s="14" t="s">
        <v>60</v>
      </c>
      <c r="C4" s="15">
        <v>2</v>
      </c>
    </row>
    <row r="5" spans="1:3" x14ac:dyDescent="0.25">
      <c r="A5" s="18" t="s">
        <v>47</v>
      </c>
      <c r="B5" s="14" t="s">
        <v>60</v>
      </c>
      <c r="C5" s="15">
        <v>6</v>
      </c>
    </row>
    <row r="6" spans="1:3" x14ac:dyDescent="0.25">
      <c r="A6" s="18" t="s">
        <v>125</v>
      </c>
      <c r="B6" s="14" t="s">
        <v>60</v>
      </c>
      <c r="C6" s="15"/>
    </row>
    <row r="7" spans="1:3" x14ac:dyDescent="0.25">
      <c r="A7" s="41"/>
      <c r="B7" s="42"/>
      <c r="C7" s="15">
        <f>SUBTOTAL(109,Tabela81011[Picos de Velocidade])</f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C3"/>
  <sheetViews>
    <sheetView showGridLines="0" workbookViewId="0">
      <selection activeCell="C3" sqref="C3"/>
    </sheetView>
  </sheetViews>
  <sheetFormatPr defaultRowHeight="15" x14ac:dyDescent="0.25"/>
  <cols>
    <col min="1" max="1" width="39.5703125" style="3" bestFit="1" customWidth="1"/>
    <col min="2" max="2" width="11.42578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27" t="s">
        <v>87</v>
      </c>
      <c r="B3" s="28" t="s">
        <v>61</v>
      </c>
      <c r="C3" s="2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C6"/>
  <sheetViews>
    <sheetView showGridLines="0" workbookViewId="0">
      <selection activeCell="A5" sqref="A5"/>
    </sheetView>
  </sheetViews>
  <sheetFormatPr defaultRowHeight="15" x14ac:dyDescent="0.25"/>
  <cols>
    <col min="1" max="1" width="39.57031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12" t="s">
        <v>48</v>
      </c>
      <c r="B3" s="17" t="s">
        <v>62</v>
      </c>
      <c r="C3" s="15">
        <v>4</v>
      </c>
    </row>
    <row r="4" spans="1:3" x14ac:dyDescent="0.25">
      <c r="A4" s="3" t="s">
        <v>49</v>
      </c>
      <c r="B4" s="17" t="s">
        <v>62</v>
      </c>
      <c r="C4" s="15">
        <v>12</v>
      </c>
    </row>
    <row r="5" spans="1:3" x14ac:dyDescent="0.25">
      <c r="A5" s="3" t="s">
        <v>50</v>
      </c>
      <c r="B5" s="17" t="s">
        <v>62</v>
      </c>
      <c r="C5" s="15">
        <v>3</v>
      </c>
    </row>
    <row r="6" spans="1:3" x14ac:dyDescent="0.25">
      <c r="A6" s="13"/>
      <c r="B6" s="17"/>
      <c r="C6" s="15">
        <f>SUBTOTAL(109,Tabela8101113[Picos de Velocidade])</f>
        <v>19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C5"/>
  <sheetViews>
    <sheetView showGridLines="0" workbookViewId="0">
      <selection activeCell="A4" sqref="A4"/>
    </sheetView>
  </sheetViews>
  <sheetFormatPr defaultRowHeight="15" x14ac:dyDescent="0.25"/>
  <cols>
    <col min="1" max="1" width="39.57031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3" t="s">
        <v>117</v>
      </c>
      <c r="B3" s="17" t="s">
        <v>63</v>
      </c>
      <c r="C3" s="15">
        <v>5</v>
      </c>
    </row>
    <row r="4" spans="1:3" x14ac:dyDescent="0.25">
      <c r="A4" s="3" t="s">
        <v>51</v>
      </c>
      <c r="B4" s="17" t="s">
        <v>63</v>
      </c>
      <c r="C4" s="15">
        <v>1</v>
      </c>
    </row>
    <row r="5" spans="1:3" x14ac:dyDescent="0.25">
      <c r="A5" s="39"/>
      <c r="B5" s="40"/>
      <c r="C5" s="15">
        <f>SUBTOTAL(109,Tabela810111314[Picos de Velocidade])</f>
        <v>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C8"/>
  <sheetViews>
    <sheetView showGridLines="0" tabSelected="1" workbookViewId="0">
      <selection activeCell="D17" sqref="D17"/>
    </sheetView>
  </sheetViews>
  <sheetFormatPr defaultRowHeight="15" x14ac:dyDescent="0.25"/>
  <cols>
    <col min="1" max="1" width="39.5703125" style="3" bestFit="1" customWidth="1"/>
    <col min="2" max="2" width="23.5703125" style="3" bestFit="1" customWidth="1"/>
    <col min="3" max="3" width="19" style="3" bestFit="1" customWidth="1"/>
    <col min="4" max="16384" width="9.140625" style="3"/>
  </cols>
  <sheetData>
    <row r="1" spans="1:3" x14ac:dyDescent="0.25">
      <c r="A1" s="2" t="s">
        <v>66</v>
      </c>
      <c r="B1" s="1"/>
      <c r="C1" s="1"/>
    </row>
    <row r="2" spans="1:3" x14ac:dyDescent="0.25">
      <c r="A2" s="1" t="s">
        <v>8</v>
      </c>
      <c r="B2" s="1" t="s">
        <v>9</v>
      </c>
      <c r="C2" s="1" t="s">
        <v>65</v>
      </c>
    </row>
    <row r="3" spans="1:3" x14ac:dyDescent="0.25">
      <c r="A3" s="3" t="s">
        <v>54</v>
      </c>
      <c r="B3" s="17" t="s">
        <v>64</v>
      </c>
      <c r="C3" s="15"/>
    </row>
    <row r="4" spans="1:3" x14ac:dyDescent="0.25">
      <c r="A4" s="3" t="s">
        <v>130</v>
      </c>
      <c r="B4" s="17" t="s">
        <v>64</v>
      </c>
      <c r="C4" s="15"/>
    </row>
    <row r="5" spans="1:3" x14ac:dyDescent="0.25">
      <c r="A5" s="18" t="s">
        <v>53</v>
      </c>
      <c r="B5" s="17" t="s">
        <v>64</v>
      </c>
      <c r="C5" s="15"/>
    </row>
    <row r="6" spans="1:3" x14ac:dyDescent="0.25">
      <c r="A6" s="13" t="s">
        <v>52</v>
      </c>
      <c r="B6" s="17" t="s">
        <v>64</v>
      </c>
      <c r="C6" s="15"/>
    </row>
    <row r="7" spans="1:3" x14ac:dyDescent="0.25">
      <c r="A7" s="13" t="s">
        <v>55</v>
      </c>
      <c r="B7" s="17" t="s">
        <v>64</v>
      </c>
      <c r="C7" s="15"/>
    </row>
    <row r="8" spans="1:3" x14ac:dyDescent="0.25">
      <c r="A8" s="44"/>
      <c r="B8" s="45"/>
      <c r="C8" s="15">
        <f>SUBTOTAL(109,Tabela81015[Picos de Velocidade])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Grafico</vt:lpstr>
      <vt:lpstr>Geral</vt:lpstr>
      <vt:lpstr>Araucária</vt:lpstr>
      <vt:lpstr>Campo Grande</vt:lpstr>
      <vt:lpstr>Chapeco</vt:lpstr>
      <vt:lpstr>Cianorte</vt:lpstr>
      <vt:lpstr>Guararapes</vt:lpstr>
      <vt:lpstr>Itajai</vt:lpstr>
      <vt:lpstr>Paulínia</vt:lpstr>
      <vt:lpstr>São José dos Campos</vt:lpstr>
      <vt:lpstr>Sarandi</vt:lpstr>
      <vt:lpstr>Uberaba</vt:lpstr>
      <vt:lpstr>Uberlandia</vt:lpstr>
      <vt:lpstr>Várzea Grande</vt:lpstr>
      <vt:lpstr>sjc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Da Silva Alves</dc:creator>
  <cp:lastModifiedBy>Alex Da Silva Alves</cp:lastModifiedBy>
  <cp:lastPrinted>2024-01-30T10:58:31Z</cp:lastPrinted>
  <dcterms:created xsi:type="dcterms:W3CDTF">2023-02-24T12:57:15Z</dcterms:created>
  <dcterms:modified xsi:type="dcterms:W3CDTF">2026-08-27T18:06:26Z</dcterms:modified>
</cp:coreProperties>
</file>